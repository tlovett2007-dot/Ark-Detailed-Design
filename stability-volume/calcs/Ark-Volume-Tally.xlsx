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Dimensions" sheetId="2" state="visible" r:id="rId4"/>
    <sheet name="Volume Tally" sheetId="3" state="visible" r:id="rId5"/>
    <sheet name="Displacement" sheetId="4" state="visible" r:id="rId6"/>
    <sheet name="Animal Zo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<sst xmlns="http://schemas.openxmlformats.org/spreadsheetml/2006/main" count="180" uniqueCount="145">
  <si>
    <t xml:space="preserve">Noah's Ark — Volume Tally Master Calculator</t>
  </si>
  <si>
    <t xml:space="preserve">Noah's Ark Naval Architecture Research — T. Lovett</t>
  </si>
  <si>
    <t xml:space="preserve">Change the cubit in B6 — all sheets update automatically</t>
  </si>
  <si>
    <t xml:space="preserve">PRIMARY INPUT</t>
  </si>
  <si>
    <t xml:space="preserve">Cubit (m)</t>
  </si>
  <si>
    <t xml:space="preserve">Royal Egyptian — confirmed. Change to 0.518 to compare Nippur.</t>
  </si>
  <si>
    <t xml:space="preserve">Biblical Dimensions (cubits)</t>
  </si>
  <si>
    <t xml:space="preserve">Length</t>
  </si>
  <si>
    <t xml:space="preserve">Genesis 6:15</t>
  </si>
  <si>
    <t xml:space="preserve">Beam</t>
  </si>
  <si>
    <t xml:space="preserve">Height</t>
  </si>
  <si>
    <t xml:space="preserve">Draft — Genesis 7:20</t>
  </si>
  <si>
    <t xml:space="preserve">15 cubits to keel bottom at stern</t>
  </si>
  <si>
    <t xml:space="preserve">Sohar coaming</t>
  </si>
  <si>
    <t xml:space="preserve">Genesis 6:16</t>
  </si>
  <si>
    <t xml:space="preserve">Hull Skin (imperial — not cubit-dependent)</t>
  </si>
  <si>
    <t xml:space="preserve">Plank thickness (inches)</t>
  </si>
  <si>
    <t xml:space="preserve">Frame depth (inches)</t>
  </si>
  <si>
    <t xml:space="preserve">Ceiling plank thickness (inches)</t>
  </si>
  <si>
    <t xml:space="preserve">Sacrificial planks bottom</t>
  </si>
  <si>
    <t xml:space="preserve">Sacrificial planks sides</t>
  </si>
  <si>
    <t xml:space="preserve">Structural plank layers</t>
  </si>
  <si>
    <t xml:space="preserve">Hull Parameters</t>
  </si>
  <si>
    <t xml:space="preserve">Block coefficient Cb</t>
  </si>
  <si>
    <t xml:space="preserve">Stern trim (m)</t>
  </si>
  <si>
    <t xml:space="preserve">Keel depth at stern (m)</t>
  </si>
  <si>
    <t xml:space="preserve">Promenade width (m)</t>
  </si>
  <si>
    <t xml:space="preserve">Roof slope zone (m)</t>
  </si>
  <si>
    <t xml:space="preserve">Ballast zone height (m)</t>
  </si>
  <si>
    <t xml:space="preserve">Densities (kg/m³)</t>
  </si>
  <si>
    <t xml:space="preserve">Timber (old growth pine)</t>
  </si>
  <si>
    <t xml:space="preserve">Seawater</t>
  </si>
  <si>
    <t xml:space="preserve">Bulk fodder</t>
  </si>
  <si>
    <t xml:space="preserve">Animals (average)</t>
  </si>
  <si>
    <t xml:space="preserve">Mixed fitout</t>
  </si>
  <si>
    <t xml:space="preserve">Derived Dimensions</t>
  </si>
  <si>
    <t xml:space="preserve">Dimension</t>
  </si>
  <si>
    <t xml:space="preserve">Cubits</t>
  </si>
  <si>
    <t xml:space="preserve">Metres</t>
  </si>
  <si>
    <t xml:space="preserve">Notes</t>
  </si>
  <si>
    <t xml:space="preserve">Length L</t>
  </si>
  <si>
    <t xml:space="preserve">300 cubits — Genesis 6:15</t>
  </si>
  <si>
    <t xml:space="preserve">Beam B</t>
  </si>
  <si>
    <t xml:space="preserve">50 cubits — Genesis 6:15</t>
  </si>
  <si>
    <t xml:space="preserve">Height D</t>
  </si>
  <si>
    <t xml:space="preserve">30 cubits — Genesis 6:15</t>
  </si>
  <si>
    <t xml:space="preserve">Draft T (to keel)</t>
  </si>
  <si>
    <t xml:space="preserve">15 cubits — Genesis 7:20</t>
  </si>
  <si>
    <t xml:space="preserve">Above hull height</t>
  </si>
  <si>
    <t xml:space="preserve">Skin bottom (m)</t>
  </si>
  <si>
    <t xml:space="preserve">—</t>
  </si>
  <si>
    <t xml:space="preserve">Imperial — not cubit-dependent</t>
  </si>
  <si>
    <t xml:space="preserve">Skin sides (m)</t>
  </si>
  <si>
    <t xml:space="preserve">Internal beam (m)</t>
  </si>
  <si>
    <t xml:space="preserve">Beam less two side skins</t>
  </si>
  <si>
    <t xml:space="preserve">Three deck zone (m)</t>
  </si>
  <si>
    <t xml:space="preserve">Height less roof and ballast zones</t>
  </si>
  <si>
    <t xml:space="preserve">Clear per deck (m)</t>
  </si>
  <si>
    <t xml:space="preserve">Three equal decks</t>
  </si>
  <si>
    <t xml:space="preserve">Hull draft (m)</t>
  </si>
  <si>
    <t xml:space="preserve">Draft less keel depth</t>
  </si>
  <si>
    <t xml:space="preserve">Bow draft (m)</t>
  </si>
  <si>
    <t xml:space="preserve">Hull draft less half trim</t>
  </si>
  <si>
    <t xml:space="preserve">Stern draft (m)</t>
  </si>
  <si>
    <t xml:space="preserve">Hull draft plus half trim</t>
  </si>
  <si>
    <t xml:space="preserve">Frbrd stern (m)</t>
  </si>
  <si>
    <t xml:space="preserve">Height less stern hull draft</t>
  </si>
  <si>
    <t xml:space="preserve">Frbrd bow (m)</t>
  </si>
  <si>
    <t xml:space="preserve">Height less bow hull draft</t>
  </si>
  <si>
    <t xml:space="preserve">Master Volume Deduction Table</t>
  </si>
  <si>
    <t xml:space="preserve">All volumes m³. Change cubit on Inputs sheet — everything updates.</t>
  </si>
  <si>
    <t xml:space="preserve">Item</t>
  </si>
  <si>
    <t xml:space="preserve">Deduction m³</t>
  </si>
  <si>
    <t xml:space="preserve">Remaining m³</t>
  </si>
  <si>
    <t xml:space="preserve">Remaining %</t>
  </si>
  <si>
    <t xml:space="preserve">Status</t>
  </si>
  <si>
    <t xml:space="preserve">External box (L × B × D)</t>
  </si>
  <si>
    <t xml:space="preserve">Confirmed</t>
  </si>
  <si>
    <t xml:space="preserve">Hull skin + roof slope (~28%)</t>
  </si>
  <si>
    <t xml:space="preserve">Provisional</t>
  </si>
  <si>
    <t xml:space="preserve">Block coefficient (Cb)</t>
  </si>
  <si>
    <t xml:space="preserve">Central promenade (3 decks)</t>
  </si>
  <si>
    <t xml:space="preserve">Three deck structures</t>
  </si>
  <si>
    <t xml:space="preserve">Stern compartment (~15m)</t>
  </si>
  <si>
    <t xml:space="preserve">Bow compartment (~15m)</t>
  </si>
  <si>
    <t xml:space="preserve">Internal ramps (2m wide)</t>
  </si>
  <si>
    <t xml:space="preserve">Ballast zone</t>
  </si>
  <si>
    <t xml:space="preserve">Vertical structure</t>
  </si>
  <si>
    <t xml:space="preserve">Six transverse bulkheads</t>
  </si>
  <si>
    <t xml:space="preserve">Outboard service column / vent shafts</t>
  </si>
  <si>
    <t xml:space="preserve">Revised</t>
  </si>
  <si>
    <t xml:space="preserve">Double moon pool complex</t>
  </si>
  <si>
    <t xml:space="preserve">Family quarters</t>
  </si>
  <si>
    <t xml:space="preserve">Header tanks (roof corners)</t>
  </si>
  <si>
    <t xml:space="preserve">ANIMAL / FODDER / WASTE ZONE</t>
  </si>
  <si>
    <t xml:space="preserve">Residual</t>
  </si>
  <si>
    <t xml:space="preserve">Displacement &amp; Draft</t>
  </si>
  <si>
    <t xml:space="preserve">Volume m³</t>
  </si>
  <si>
    <t xml:space="preserve">Density kg/m³</t>
  </si>
  <si>
    <t xml:space="preserve">Mass tonnes</t>
  </si>
  <si>
    <t xml:space="preserve">Hull timber (pine)</t>
  </si>
  <si>
    <t xml:space="preserve">Deck structures × 3</t>
  </si>
  <si>
    <t xml:space="preserve">Bulkheads + vertical struct.</t>
  </si>
  <si>
    <t xml:space="preserve">Ballast water (partial)</t>
  </si>
  <si>
    <t xml:space="preserve">Header tanks (full)</t>
  </si>
  <si>
    <t xml:space="preserve">Animals</t>
  </si>
  <si>
    <t xml:space="preserve">Bow/stern fitout + ramps</t>
  </si>
  <si>
    <t xml:space="preserve">Family + equipment</t>
  </si>
  <si>
    <t xml:space="preserve">50</t>
  </si>
  <si>
    <t xml:space="preserve">1000</t>
  </si>
  <si>
    <t xml:space="preserve">TOTAL DISPLACEMENT (tonnes)</t>
  </si>
  <si>
    <t xml:space="preserve">Draft</t>
  </si>
  <si>
    <t xml:space="preserve">Calculated hull draft (m)</t>
  </si>
  <si>
    <t xml:space="preserve">Target hull draft (m)</t>
  </si>
  <si>
    <t xml:space="preserve">Difference (+ needs more ballast)</t>
  </si>
  <si>
    <t xml:space="preserve">Freeboard at stern (m)</t>
  </si>
  <si>
    <t xml:space="preserve">Animal Zone Analysis</t>
  </si>
  <si>
    <t xml:space="preserve">Component</t>
  </si>
  <si>
    <t xml:space="preserve">m³</t>
  </si>
  <si>
    <t xml:space="preserve">% of zone</t>
  </si>
  <si>
    <t xml:space="preserve">Animal body + movement (50% packing)</t>
  </si>
  <si>
    <t xml:space="preserve">Subfloor waste collection</t>
  </si>
  <si>
    <t xml:space="preserve">Review — 3-zone split needed</t>
  </si>
  <si>
    <t xml:space="preserve">Local fodder hoppers</t>
  </si>
  <si>
    <t xml:space="preserve">Bulk fodder storage</t>
  </si>
  <si>
    <t xml:space="preserve">Packing inefficiency / air / access</t>
  </si>
  <si>
    <t xml:space="preserve">Subtotal animal zone</t>
  </si>
  <si>
    <t xml:space="preserve">Promenade bonus</t>
  </si>
  <si>
    <t xml:space="preserve">Bird cages (above 2m, both sides)</t>
  </si>
  <si>
    <t xml:space="preserve">Planting strip</t>
  </si>
  <si>
    <t xml:space="preserve">Total promenade bonus</t>
  </si>
  <si>
    <t xml:space="preserve">EFFECTIVE ANIMAL ZONE (m³)</t>
  </si>
  <si>
    <t xml:space="preserve">Animal Count</t>
  </si>
  <si>
    <t xml:space="preserve">Cage volume weighted avg (m³)</t>
  </si>
  <si>
    <t xml:space="preserve">Utilisation</t>
  </si>
  <si>
    <t xml:space="preserve">Gross kinds</t>
  </si>
  <si>
    <t xml:space="preserve">90%</t>
  </si>
  <si>
    <t xml:space="preserve">80%</t>
  </si>
  <si>
    <t xml:space="preserve">70%</t>
  </si>
  <si>
    <t xml:space="preserve">Clean animal adjustment</t>
  </si>
  <si>
    <t xml:space="preserve">Clean kind count</t>
  </si>
  <si>
    <t xml:space="preserve">Extra animals per clean kind</t>
  </si>
  <si>
    <t xml:space="preserve">Total extra animals</t>
  </si>
  <si>
    <t xml:space="preserve">Kind-equivalent deduction</t>
  </si>
  <si>
    <t xml:space="preserve">Net kinds (at 80% utilisation)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</si>
</sst>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"/>
    <numFmt numFmtId="168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0.524</v>
      </c>
      <c r="C6" s="7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5" t="s">
        <v>7</v>
      </c>
      <c r="B9" s="8" t="n">
        <v>300</v>
      </c>
      <c r="C9" s="7" t="s">
        <v>8</v>
      </c>
    </row>
    <row r="10" customFormat="false" ht="15" hidden="false" customHeight="false" outlineLevel="0" collapsed="false">
      <c r="A10" s="5" t="s">
        <v>9</v>
      </c>
      <c r="B10" s="8" t="n">
        <v>50</v>
      </c>
      <c r="C10" s="7" t="s">
        <v>8</v>
      </c>
    </row>
    <row r="11" customFormat="false" ht="15" hidden="false" customHeight="false" outlineLevel="0" collapsed="false">
      <c r="A11" s="5" t="s">
        <v>10</v>
      </c>
      <c r="B11" s="8" t="n">
        <v>30</v>
      </c>
      <c r="C11" s="7" t="s">
        <v>8</v>
      </c>
    </row>
    <row r="12" customFormat="false" ht="15" hidden="false" customHeight="false" outlineLevel="0" collapsed="false">
      <c r="A12" s="5" t="s">
        <v>11</v>
      </c>
      <c r="B12" s="8" t="n">
        <v>15</v>
      </c>
      <c r="C12" s="7" t="s">
        <v>12</v>
      </c>
    </row>
    <row r="13" customFormat="false" ht="15" hidden="false" customHeight="false" outlineLevel="0" collapsed="false">
      <c r="A13" s="5" t="s">
        <v>13</v>
      </c>
      <c r="B13" s="8" t="n">
        <v>1</v>
      </c>
      <c r="C13" s="7" t="s">
        <v>14</v>
      </c>
    </row>
    <row r="15" customFormat="false" ht="15" hidden="false" customHeight="false" outlineLevel="0" collapsed="false">
      <c r="A15" s="4" t="s">
        <v>15</v>
      </c>
    </row>
    <row r="16" customFormat="false" ht="15" hidden="false" customHeight="false" outlineLevel="0" collapsed="false">
      <c r="A16" s="5" t="s">
        <v>16</v>
      </c>
      <c r="B16" s="9" t="n">
        <v>5</v>
      </c>
    </row>
    <row r="17" customFormat="false" ht="15" hidden="false" customHeight="false" outlineLevel="0" collapsed="false">
      <c r="A17" s="5" t="s">
        <v>17</v>
      </c>
      <c r="B17" s="9" t="n">
        <v>32</v>
      </c>
    </row>
    <row r="18" customFormat="false" ht="15" hidden="false" customHeight="false" outlineLevel="0" collapsed="false">
      <c r="A18" s="5" t="s">
        <v>18</v>
      </c>
      <c r="B18" s="9" t="n">
        <v>4.5</v>
      </c>
    </row>
    <row r="19" customFormat="false" ht="15" hidden="false" customHeight="false" outlineLevel="0" collapsed="false">
      <c r="A19" s="5" t="s">
        <v>19</v>
      </c>
      <c r="B19" s="9" t="n">
        <v>2</v>
      </c>
    </row>
    <row r="20" customFormat="false" ht="15" hidden="false" customHeight="false" outlineLevel="0" collapsed="false">
      <c r="A20" s="5" t="s">
        <v>20</v>
      </c>
      <c r="B20" s="9" t="n">
        <v>1</v>
      </c>
    </row>
    <row r="21" customFormat="false" ht="15" hidden="false" customHeight="false" outlineLevel="0" collapsed="false">
      <c r="A21" s="5" t="s">
        <v>21</v>
      </c>
      <c r="B21" s="9" t="n">
        <v>4</v>
      </c>
    </row>
    <row r="23" customFormat="false" ht="15" hidden="false" customHeight="false" outlineLevel="0" collapsed="false">
      <c r="A23" s="4" t="s">
        <v>22</v>
      </c>
    </row>
    <row r="24" customFormat="false" ht="15" hidden="false" customHeight="false" outlineLevel="0" collapsed="false">
      <c r="A24" s="5" t="s">
        <v>23</v>
      </c>
      <c r="B24" s="10" t="n">
        <v>0.85</v>
      </c>
    </row>
    <row r="25" customFormat="false" ht="15" hidden="false" customHeight="false" outlineLevel="0" collapsed="false">
      <c r="A25" s="5" t="s">
        <v>24</v>
      </c>
      <c r="B25" s="10" t="n">
        <v>2</v>
      </c>
    </row>
    <row r="26" customFormat="false" ht="15" hidden="false" customHeight="false" outlineLevel="0" collapsed="false">
      <c r="A26" s="5" t="s">
        <v>25</v>
      </c>
      <c r="B26" s="10" t="n">
        <v>2</v>
      </c>
    </row>
    <row r="27" customFormat="false" ht="15" hidden="false" customHeight="false" outlineLevel="0" collapsed="false">
      <c r="A27" s="5" t="s">
        <v>26</v>
      </c>
      <c r="B27" s="10" t="n">
        <v>4</v>
      </c>
    </row>
    <row r="28" customFormat="false" ht="15" hidden="false" customHeight="false" outlineLevel="0" collapsed="false">
      <c r="A28" s="5" t="s">
        <v>27</v>
      </c>
      <c r="B28" s="10" t="n">
        <v>3.2</v>
      </c>
    </row>
    <row r="29" customFormat="false" ht="15" hidden="false" customHeight="false" outlineLevel="0" collapsed="false">
      <c r="A29" s="5" t="s">
        <v>28</v>
      </c>
      <c r="B29" s="10" t="n">
        <v>2</v>
      </c>
    </row>
    <row r="31" customFormat="false" ht="15" hidden="false" customHeight="false" outlineLevel="0" collapsed="false">
      <c r="A31" s="4" t="s">
        <v>29</v>
      </c>
    </row>
    <row r="32" customFormat="false" ht="15" hidden="false" customHeight="false" outlineLevel="0" collapsed="false">
      <c r="A32" s="5" t="s">
        <v>30</v>
      </c>
      <c r="B32" s="8" t="n">
        <v>650</v>
      </c>
    </row>
    <row r="33" customFormat="false" ht="15" hidden="false" customHeight="false" outlineLevel="0" collapsed="false">
      <c r="A33" s="5" t="s">
        <v>31</v>
      </c>
      <c r="B33" s="8" t="n">
        <v>1025</v>
      </c>
    </row>
    <row r="34" customFormat="false" ht="15" hidden="false" customHeight="false" outlineLevel="0" collapsed="false">
      <c r="A34" s="5" t="s">
        <v>32</v>
      </c>
      <c r="B34" s="8" t="n">
        <v>150</v>
      </c>
    </row>
    <row r="35" customFormat="false" ht="15" hidden="false" customHeight="false" outlineLevel="0" collapsed="false">
      <c r="A35" s="5" t="s">
        <v>33</v>
      </c>
      <c r="B35" s="8" t="n">
        <v>200</v>
      </c>
    </row>
    <row r="36" customFormat="false" ht="15" hidden="false" customHeight="false" outlineLevel="0" collapsed="false">
      <c r="A36" s="5" t="s">
        <v>34</v>
      </c>
      <c r="B36" s="8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11" t="s">
        <v>36</v>
      </c>
      <c r="B3" s="11" t="s">
        <v>37</v>
      </c>
      <c r="C3" s="11" t="s">
        <v>38</v>
      </c>
      <c r="D3" s="11" t="s">
        <v>39</v>
      </c>
    </row>
    <row r="4" customFormat="false" ht="15" hidden="false" customHeight="false" outlineLevel="0" collapsed="false">
      <c r="A4" s="5" t="s">
        <v>40</v>
      </c>
      <c r="B4" s="12" t="n">
        <f aca="false">Inputs!B9</f>
        <v>300</v>
      </c>
      <c r="C4" s="13" t="n">
        <f aca="false">B4*Inputs!$B$6</f>
        <v>157.2</v>
      </c>
      <c r="D4" s="7" t="s">
        <v>41</v>
      </c>
    </row>
    <row r="5" customFormat="false" ht="15" hidden="false" customHeight="false" outlineLevel="0" collapsed="false">
      <c r="A5" s="5" t="s">
        <v>42</v>
      </c>
      <c r="B5" s="12" t="n">
        <f aca="false">Inputs!B10</f>
        <v>50</v>
      </c>
      <c r="C5" s="13" t="n">
        <f aca="false">B5*Inputs!$B$6</f>
        <v>26.2</v>
      </c>
      <c r="D5" s="7" t="s">
        <v>43</v>
      </c>
    </row>
    <row r="6" customFormat="false" ht="15" hidden="false" customHeight="false" outlineLevel="0" collapsed="false">
      <c r="A6" s="5" t="s">
        <v>44</v>
      </c>
      <c r="B6" s="12" t="n">
        <f aca="false">Inputs!B11</f>
        <v>30</v>
      </c>
      <c r="C6" s="13" t="n">
        <f aca="false">B6*Inputs!$B$6</f>
        <v>15.72</v>
      </c>
      <c r="D6" s="7" t="s">
        <v>45</v>
      </c>
    </row>
    <row r="7" customFormat="false" ht="15" hidden="false" customHeight="false" outlineLevel="0" collapsed="false">
      <c r="A7" s="5" t="s">
        <v>46</v>
      </c>
      <c r="B7" s="12" t="n">
        <f aca="false">Inputs!B12</f>
        <v>15</v>
      </c>
      <c r="C7" s="13" t="n">
        <f aca="false">B7*Inputs!$B$6</f>
        <v>7.86</v>
      </c>
      <c r="D7" s="7" t="s">
        <v>47</v>
      </c>
    </row>
    <row r="8" customFormat="false" ht="15" hidden="false" customHeight="false" outlineLevel="0" collapsed="false">
      <c r="A8" s="5" t="s">
        <v>13</v>
      </c>
      <c r="B8" s="12" t="n">
        <f aca="false">Inputs!B13</f>
        <v>1</v>
      </c>
      <c r="C8" s="13" t="n">
        <f aca="false">B8*Inputs!$B$6</f>
        <v>0.524</v>
      </c>
      <c r="D8" s="7" t="s">
        <v>48</v>
      </c>
    </row>
    <row r="9" customFormat="false" ht="15" hidden="false" customHeight="false" outlineLevel="0" collapsed="false">
      <c r="A9" s="5" t="s">
        <v>49</v>
      </c>
      <c r="B9" s="14" t="s">
        <v>50</v>
      </c>
      <c r="C9" s="13" t="n">
        <f aca="false">(Inputs!B19+Inputs!B21)*Inputs!B16/39.37+Inputs!B17/39.37+2*Inputs!B18/39.37</f>
        <v>1.80340360680721</v>
      </c>
      <c r="D9" s="7" t="s">
        <v>51</v>
      </c>
    </row>
    <row r="10" customFormat="false" ht="15" hidden="false" customHeight="false" outlineLevel="0" collapsed="false">
      <c r="A10" s="5" t="s">
        <v>52</v>
      </c>
      <c r="B10" s="14" t="s">
        <v>50</v>
      </c>
      <c r="C10" s="13" t="n">
        <f aca="false">(Inputs!B20+Inputs!B21)*Inputs!B16/39.37+Inputs!B17/39.37+2*Inputs!B18/39.37</f>
        <v>1.67640335280671</v>
      </c>
      <c r="D10" s="7" t="s">
        <v>51</v>
      </c>
    </row>
    <row r="11" customFormat="false" ht="15" hidden="false" customHeight="false" outlineLevel="0" collapsed="false">
      <c r="A11" s="5" t="s">
        <v>53</v>
      </c>
      <c r="B11" s="14" t="s">
        <v>50</v>
      </c>
      <c r="C11" s="13" t="n">
        <f aca="false">C5-2*C10</f>
        <v>22.8471932943866</v>
      </c>
      <c r="D11" s="7" t="s">
        <v>54</v>
      </c>
    </row>
    <row r="12" customFormat="false" ht="15" hidden="false" customHeight="false" outlineLevel="0" collapsed="false">
      <c r="A12" s="5" t="s">
        <v>55</v>
      </c>
      <c r="B12" s="14" t="s">
        <v>50</v>
      </c>
      <c r="C12" s="13" t="n">
        <f aca="false">C6-Inputs!B28-Inputs!B29</f>
        <v>10.52</v>
      </c>
      <c r="D12" s="7" t="s">
        <v>56</v>
      </c>
    </row>
    <row r="13" customFormat="false" ht="15" hidden="false" customHeight="false" outlineLevel="0" collapsed="false">
      <c r="A13" s="5" t="s">
        <v>57</v>
      </c>
      <c r="B13" s="14" t="s">
        <v>50</v>
      </c>
      <c r="C13" s="13" t="n">
        <f aca="false">C12/3</f>
        <v>3.50666666666667</v>
      </c>
      <c r="D13" s="7" t="s">
        <v>58</v>
      </c>
    </row>
    <row r="14" customFormat="false" ht="15" hidden="false" customHeight="false" outlineLevel="0" collapsed="false">
      <c r="A14" s="5" t="s">
        <v>59</v>
      </c>
      <c r="B14" s="14" t="s">
        <v>50</v>
      </c>
      <c r="C14" s="13" t="n">
        <f aca="false">C7-Inputs!B26</f>
        <v>5.86</v>
      </c>
      <c r="D14" s="7" t="s">
        <v>60</v>
      </c>
    </row>
    <row r="15" customFormat="false" ht="15" hidden="false" customHeight="false" outlineLevel="0" collapsed="false">
      <c r="A15" s="5" t="s">
        <v>61</v>
      </c>
      <c r="B15" s="14" t="s">
        <v>50</v>
      </c>
      <c r="C15" s="13" t="n">
        <f aca="false">C14-Inputs!B25/2</f>
        <v>4.86</v>
      </c>
      <c r="D15" s="7" t="s">
        <v>62</v>
      </c>
    </row>
    <row r="16" customFormat="false" ht="15" hidden="false" customHeight="false" outlineLevel="0" collapsed="false">
      <c r="A16" s="5" t="s">
        <v>63</v>
      </c>
      <c r="B16" s="14" t="s">
        <v>50</v>
      </c>
      <c r="C16" s="13" t="n">
        <f aca="false">C14+Inputs!B25/2</f>
        <v>6.86</v>
      </c>
      <c r="D16" s="7" t="s">
        <v>64</v>
      </c>
    </row>
    <row r="17" customFormat="false" ht="15" hidden="false" customHeight="false" outlineLevel="0" collapsed="false">
      <c r="A17" s="5" t="s">
        <v>65</v>
      </c>
      <c r="B17" s="14" t="s">
        <v>50</v>
      </c>
      <c r="C17" s="13" t="n">
        <f aca="false">C6-C16</f>
        <v>8.86</v>
      </c>
      <c r="D17" s="7" t="s">
        <v>66</v>
      </c>
    </row>
    <row r="18" customFormat="false" ht="15" hidden="false" customHeight="false" outlineLevel="0" collapsed="false">
      <c r="A18" s="5" t="s">
        <v>67</v>
      </c>
      <c r="B18" s="14" t="s">
        <v>50</v>
      </c>
      <c r="C18" s="13" t="n">
        <f aca="false">C6-C15</f>
        <v>10.86</v>
      </c>
      <c r="D18" s="7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11" t="s">
        <v>71</v>
      </c>
      <c r="B4" s="11" t="s">
        <v>72</v>
      </c>
      <c r="C4" s="11" t="s">
        <v>73</v>
      </c>
      <c r="D4" s="11" t="s">
        <v>74</v>
      </c>
      <c r="E4" s="11" t="s">
        <v>75</v>
      </c>
    </row>
    <row r="5" customFormat="false" ht="15" hidden="false" customHeight="false" outlineLevel="0" collapsed="false">
      <c r="A5" s="5" t="s">
        <v>76</v>
      </c>
      <c r="B5" s="5" t="s">
        <v>50</v>
      </c>
      <c r="C5" s="12" t="n">
        <f aca="false">Dimensions!C4*Dimensions!C5*Dimensions!C6</f>
        <v>64745.0208</v>
      </c>
      <c r="D5" s="15" t="n">
        <f aca="false">IFERROR(C5/C5*100,0)</f>
        <v>100</v>
      </c>
      <c r="E5" s="5" t="s">
        <v>77</v>
      </c>
    </row>
    <row r="6" customFormat="false" ht="15" hidden="false" customHeight="false" outlineLevel="0" collapsed="false">
      <c r="A6" s="5" t="s">
        <v>78</v>
      </c>
      <c r="B6" s="12" t="n">
        <f aca="false">-C5*0.28</f>
        <v>-18128.605824</v>
      </c>
      <c r="C6" s="12" t="n">
        <f aca="false">C5+B6</f>
        <v>46616.414976</v>
      </c>
      <c r="D6" s="15" t="n">
        <f aca="false">IFERROR(C6/C5*100,0)</f>
        <v>72</v>
      </c>
      <c r="E6" s="5" t="s">
        <v>79</v>
      </c>
    </row>
    <row r="7" customFormat="false" ht="15" hidden="false" customHeight="false" outlineLevel="0" collapsed="false">
      <c r="A7" s="5" t="s">
        <v>80</v>
      </c>
      <c r="B7" s="12" t="n">
        <f aca="false">-(C5+B6)*(1-Inputs!B24)</f>
        <v>-6992.4622464</v>
      </c>
      <c r="C7" s="12" t="n">
        <f aca="false">C6+B7</f>
        <v>39623.9527296</v>
      </c>
      <c r="D7" s="15" t="n">
        <f aca="false">IFERROR(C7/C5*100,0)</f>
        <v>61.2</v>
      </c>
      <c r="E7" s="5" t="s">
        <v>77</v>
      </c>
    </row>
    <row r="8" customFormat="false" ht="15" hidden="false" customHeight="false" outlineLevel="0" collapsed="false">
      <c r="A8" s="5" t="s">
        <v>81</v>
      </c>
      <c r="B8" s="12" t="n">
        <f aca="false">-Inputs!B27*Dimensions!C12*Dimensions!C4</f>
        <v>-6614.976</v>
      </c>
      <c r="C8" s="12" t="n">
        <f aca="false">C7+B8</f>
        <v>33008.9767296</v>
      </c>
      <c r="D8" s="15" t="n">
        <f aca="false">IFERROR(C8/C5*100,0)</f>
        <v>50.9830351766603</v>
      </c>
      <c r="E8" s="5" t="s">
        <v>77</v>
      </c>
    </row>
    <row r="9" customFormat="false" ht="15" hidden="false" customHeight="false" outlineLevel="0" collapsed="false">
      <c r="A9" s="5" t="s">
        <v>82</v>
      </c>
      <c r="B9" s="12" t="n">
        <f aca="false">-0.15*3*Dimensions!C4*Dimensions!C8</f>
        <v>-37.06776</v>
      </c>
      <c r="C9" s="12" t="n">
        <f aca="false">C8+B9</f>
        <v>32971.9089696</v>
      </c>
      <c r="D9" s="15" t="n">
        <f aca="false">IFERROR(C9/C5*100,0)</f>
        <v>50.9257832682633</v>
      </c>
      <c r="E9" s="5" t="s">
        <v>79</v>
      </c>
    </row>
    <row r="10" customFormat="false" ht="15" hidden="false" customHeight="false" outlineLevel="0" collapsed="false">
      <c r="A10" s="5" t="s">
        <v>83</v>
      </c>
      <c r="B10" s="12" t="n">
        <f aca="false">-15*Dimensions!C8*Dimensions!C6</f>
        <v>-123.5592</v>
      </c>
      <c r="C10" s="12" t="n">
        <f aca="false">C9+B10</f>
        <v>32848.3497696</v>
      </c>
      <c r="D10" s="15" t="n">
        <f aca="false">IFERROR(C10/C5*100,0)</f>
        <v>50.7349435736068</v>
      </c>
      <c r="E10" s="5" t="s">
        <v>77</v>
      </c>
    </row>
    <row r="11" customFormat="false" ht="15" hidden="false" customHeight="false" outlineLevel="0" collapsed="false">
      <c r="A11" s="5" t="s">
        <v>84</v>
      </c>
      <c r="B11" s="12" t="n">
        <f aca="false">-15*Dimensions!C8*Dimensions!C6</f>
        <v>-123.5592</v>
      </c>
      <c r="C11" s="12" t="n">
        <f aca="false">C10+B11</f>
        <v>32724.7905696</v>
      </c>
      <c r="D11" s="15" t="n">
        <f aca="false">IFERROR(C11/C5*100,0)</f>
        <v>50.5441038789503</v>
      </c>
      <c r="E11" s="5" t="s">
        <v>77</v>
      </c>
    </row>
    <row r="12" customFormat="false" ht="15" hidden="false" customHeight="false" outlineLevel="0" collapsed="false">
      <c r="A12" s="5" t="s">
        <v>85</v>
      </c>
      <c r="B12" s="12" t="n">
        <f aca="false">-2*Dimensions!C12*Dimensions!C4*0.1</f>
        <v>-330.7488</v>
      </c>
      <c r="C12" s="12" t="n">
        <f aca="false">C11+B12</f>
        <v>32394.0417696</v>
      </c>
      <c r="D12" s="15" t="n">
        <f aca="false">IFERROR(C12/C5*100,0)</f>
        <v>50.0332556377833</v>
      </c>
      <c r="E12" s="5" t="s">
        <v>79</v>
      </c>
    </row>
    <row r="13" customFormat="false" ht="15" hidden="false" customHeight="false" outlineLevel="0" collapsed="false">
      <c r="A13" s="5" t="s">
        <v>86</v>
      </c>
      <c r="B13" s="12" t="n">
        <f aca="false">-Dimensions!C4*Dimensions!C8*Inputs!B29</f>
        <v>-164.7456</v>
      </c>
      <c r="C13" s="12" t="n">
        <f aca="false">C12+B13</f>
        <v>32229.2961696</v>
      </c>
      <c r="D13" s="15" t="n">
        <f aca="false">IFERROR(C13/C5*100,0)</f>
        <v>49.7788027115747</v>
      </c>
      <c r="E13" s="5" t="s">
        <v>79</v>
      </c>
    </row>
    <row r="14" customFormat="false" ht="15" hidden="false" customHeight="false" outlineLevel="0" collapsed="false">
      <c r="A14" s="5" t="s">
        <v>87</v>
      </c>
      <c r="B14" s="12" t="n">
        <f aca="false">-C13*0.12</f>
        <v>-3867.515540352</v>
      </c>
      <c r="C14" s="12" t="n">
        <f aca="false">C13+B14</f>
        <v>28361.780629248</v>
      </c>
      <c r="D14" s="15" t="n">
        <f aca="false">IFERROR(C14/C5*100,0)</f>
        <v>43.8053463861857</v>
      </c>
      <c r="E14" s="5" t="s">
        <v>79</v>
      </c>
    </row>
    <row r="15" customFormat="false" ht="15" hidden="false" customHeight="false" outlineLevel="0" collapsed="false">
      <c r="A15" s="5" t="s">
        <v>88</v>
      </c>
      <c r="B15" s="12" t="n">
        <f aca="false">-6*Dimensions!C8*Dimensions!C6*0.3</f>
        <v>-14.827104</v>
      </c>
      <c r="C15" s="12" t="n">
        <f aca="false">C14+B15</f>
        <v>28346.953525248</v>
      </c>
      <c r="D15" s="15" t="n">
        <f aca="false">IFERROR(C15/C5*100,0)</f>
        <v>43.782445622827</v>
      </c>
      <c r="E15" s="5" t="s">
        <v>77</v>
      </c>
    </row>
    <row r="16" customFormat="false" ht="15" hidden="false" customHeight="false" outlineLevel="0" collapsed="false">
      <c r="A16" s="5" t="s">
        <v>89</v>
      </c>
      <c r="B16" s="12" t="n">
        <f aca="false">-2*1*Dimensions!C12*0.6</f>
        <v>-12.624</v>
      </c>
      <c r="C16" s="12" t="n">
        <f aca="false">C15+B16</f>
        <v>28334.329525248</v>
      </c>
      <c r="D16" s="15" t="n">
        <f aca="false">IFERROR(C16/C5*100,0)</f>
        <v>43.7629475983549</v>
      </c>
      <c r="E16" s="5" t="s">
        <v>90</v>
      </c>
    </row>
    <row r="17" customFormat="false" ht="15" hidden="false" customHeight="false" outlineLevel="0" collapsed="false">
      <c r="A17" s="5" t="s">
        <v>91</v>
      </c>
      <c r="B17" s="12" t="n">
        <f aca="false">-728*(Dimensions!C4/155.4)</f>
        <v>-736.432432432432</v>
      </c>
      <c r="C17" s="12" t="n">
        <f aca="false">C16+B17</f>
        <v>27597.8970928156</v>
      </c>
      <c r="D17" s="15" t="n">
        <f aca="false">IFERROR(C17/C5*100,0)</f>
        <v>42.6255127449362</v>
      </c>
      <c r="E17" s="5" t="s">
        <v>79</v>
      </c>
    </row>
    <row r="18" customFormat="false" ht="15" hidden="false" customHeight="false" outlineLevel="0" collapsed="false">
      <c r="A18" s="5" t="s">
        <v>92</v>
      </c>
      <c r="B18" s="12" t="n">
        <f aca="false">-398*(Dimensions!C4/155.4)</f>
        <v>-402.610038610039</v>
      </c>
      <c r="C18" s="12" t="n">
        <f aca="false">C17+B18</f>
        <v>27195.2870542055</v>
      </c>
      <c r="D18" s="15" t="n">
        <f aca="false">IFERROR(C18/C5*100,0)</f>
        <v>42.0036733607869</v>
      </c>
      <c r="E18" s="5" t="s">
        <v>79</v>
      </c>
    </row>
    <row r="19" customFormat="false" ht="15" hidden="false" customHeight="false" outlineLevel="0" collapsed="false">
      <c r="A19" s="5" t="s">
        <v>93</v>
      </c>
      <c r="B19" s="12" t="n">
        <f aca="false">-251*(Dimensions!C4/155.4)</f>
        <v>-253.907335907336</v>
      </c>
      <c r="C19" s="12" t="n">
        <f aca="false">C18+B19</f>
        <v>26941.3797182982</v>
      </c>
      <c r="D19" s="15" t="n">
        <f aca="false">IFERROR(C19/C5*100,0)</f>
        <v>41.6115083220395</v>
      </c>
      <c r="E19" s="5" t="s">
        <v>90</v>
      </c>
    </row>
    <row r="20" customFormat="false" ht="15" hidden="false" customHeight="false" outlineLevel="0" collapsed="false">
      <c r="A20" s="16" t="s">
        <v>94</v>
      </c>
      <c r="B20" s="5" t="s">
        <v>50</v>
      </c>
      <c r="C20" s="17" t="n">
        <f aca="false">C19</f>
        <v>26941.3797182982</v>
      </c>
      <c r="D20" s="15" t="n">
        <f aca="false">IFERROR(C20/C5*100,0)</f>
        <v>41.6115083220395</v>
      </c>
      <c r="E20" s="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11" t="s">
        <v>71</v>
      </c>
      <c r="B3" s="11" t="s">
        <v>97</v>
      </c>
      <c r="C3" s="11" t="s">
        <v>98</v>
      </c>
      <c r="D3" s="11" t="s">
        <v>99</v>
      </c>
    </row>
    <row r="4" customFormat="false" ht="15" hidden="false" customHeight="false" outlineLevel="0" collapsed="false">
      <c r="A4" s="5" t="s">
        <v>100</v>
      </c>
      <c r="B4" s="12" t="n">
        <f aca="false">'Volume Tally'!C6*0.28</f>
        <v>13052.59619328</v>
      </c>
      <c r="C4" s="12" t="n">
        <f aca="false">Inputs!B32</f>
        <v>650</v>
      </c>
      <c r="D4" s="12" t="n">
        <f aca="false">B4*C4/1000</f>
        <v>8484.187525632</v>
      </c>
    </row>
    <row r="5" customFormat="false" ht="15" hidden="false" customHeight="false" outlineLevel="0" collapsed="false">
      <c r="A5" s="5" t="s">
        <v>101</v>
      </c>
      <c r="B5" s="12" t="n">
        <f aca="false">ABS('Volume Tally'!B9)</f>
        <v>37.06776</v>
      </c>
      <c r="C5" s="12" t="n">
        <f aca="false">Inputs!B32</f>
        <v>650</v>
      </c>
      <c r="D5" s="12" t="n">
        <f aca="false">B5*C5/1000</f>
        <v>24.094044</v>
      </c>
    </row>
    <row r="6" customFormat="false" ht="15" hidden="false" customHeight="false" outlineLevel="0" collapsed="false">
      <c r="A6" s="5" t="s">
        <v>102</v>
      </c>
      <c r="B6" s="12" t="n">
        <f aca="false">ABS('Volume Tally'!B15)+ABS('Volume Tally'!B14)</f>
        <v>3882.342644352</v>
      </c>
      <c r="C6" s="12" t="n">
        <f aca="false">Inputs!B32</f>
        <v>650</v>
      </c>
      <c r="D6" s="12" t="n">
        <f aca="false">B6*C6/1000</f>
        <v>2523.5227188288</v>
      </c>
    </row>
    <row r="7" customFormat="false" ht="15" hidden="false" customHeight="false" outlineLevel="0" collapsed="false">
      <c r="A7" s="5" t="s">
        <v>103</v>
      </c>
      <c r="B7" s="12" t="n">
        <f aca="false">ABS('Volume Tally'!B13)*0.43</f>
        <v>70.840608</v>
      </c>
      <c r="C7" s="12" t="n">
        <f aca="false">Inputs!B33</f>
        <v>1025</v>
      </c>
      <c r="D7" s="12" t="n">
        <f aca="false">B7*C7/1000</f>
        <v>72.6116232</v>
      </c>
    </row>
    <row r="8" customFormat="false" ht="15" hidden="false" customHeight="false" outlineLevel="0" collapsed="false">
      <c r="A8" s="5" t="s">
        <v>104</v>
      </c>
      <c r="B8" s="12" t="n">
        <f aca="false">ABS('Volume Tally'!B19)</f>
        <v>253.907335907336</v>
      </c>
      <c r="C8" s="12" t="n">
        <f aca="false">Inputs!B33</f>
        <v>1025</v>
      </c>
      <c r="D8" s="12" t="n">
        <f aca="false">B8*C8/1000</f>
        <v>260.255019305019</v>
      </c>
    </row>
    <row r="9" customFormat="false" ht="15" hidden="false" customHeight="false" outlineLevel="0" collapsed="false">
      <c r="A9" s="5" t="s">
        <v>32</v>
      </c>
      <c r="B9" s="12" t="n">
        <f aca="false">'Volume Tally'!C20*0.41</f>
        <v>11045.9656845023</v>
      </c>
      <c r="C9" s="12" t="n">
        <f aca="false">Inputs!B34</f>
        <v>150</v>
      </c>
      <c r="D9" s="12" t="n">
        <f aca="false">B9*C9/1000</f>
        <v>1656.89485267534</v>
      </c>
    </row>
    <row r="10" customFormat="false" ht="15" hidden="false" customHeight="false" outlineLevel="0" collapsed="false">
      <c r="A10" s="5" t="s">
        <v>105</v>
      </c>
      <c r="B10" s="12" t="n">
        <f aca="false">'Volume Tally'!C20*0.25</f>
        <v>6735.34492957455</v>
      </c>
      <c r="C10" s="12" t="n">
        <f aca="false">Inputs!B35</f>
        <v>200</v>
      </c>
      <c r="D10" s="12" t="n">
        <f aca="false">B10*C10/1000</f>
        <v>1347.06898591491</v>
      </c>
    </row>
    <row r="11" customFormat="false" ht="15" hidden="false" customHeight="false" outlineLevel="0" collapsed="false">
      <c r="A11" s="5" t="s">
        <v>106</v>
      </c>
      <c r="B11" s="12" t="n">
        <f aca="false">ABS('Volume Tally'!B10)+ABS('Volume Tally'!B11)+ABS('Volume Tally'!B12)</f>
        <v>577.8672</v>
      </c>
      <c r="C11" s="12" t="n">
        <f aca="false">Inputs!B36</f>
        <v>200</v>
      </c>
      <c r="D11" s="12" t="n">
        <f aca="false">B11*C11/1000</f>
        <v>115.57344</v>
      </c>
    </row>
    <row r="12" customFormat="false" ht="15" hidden="false" customHeight="false" outlineLevel="0" collapsed="false">
      <c r="A12" s="5" t="s">
        <v>107</v>
      </c>
      <c r="B12" s="12" t="s">
        <v>108</v>
      </c>
      <c r="C12" s="12" t="s">
        <v>109</v>
      </c>
      <c r="D12" s="12" t="n">
        <f aca="false">B12*C12/1000</f>
        <v>50</v>
      </c>
    </row>
    <row r="13" customFormat="false" ht="15" hidden="false" customHeight="false" outlineLevel="0" collapsed="false">
      <c r="A13" s="4" t="s">
        <v>110</v>
      </c>
      <c r="D13" s="17" t="n">
        <f aca="false">SUM(D4:D12)</f>
        <v>14534.2082095561</v>
      </c>
    </row>
    <row r="15" customFormat="false" ht="15" hidden="false" customHeight="false" outlineLevel="0" collapsed="false">
      <c r="A15" s="4" t="s">
        <v>111</v>
      </c>
    </row>
    <row r="16" customFormat="false" ht="15" hidden="false" customHeight="false" outlineLevel="0" collapsed="false">
      <c r="A16" s="5" t="s">
        <v>112</v>
      </c>
      <c r="B16" s="13" t="n">
        <f aca="false">D13*1000/(Inputs!B33*Dimensions!C4*Dimensions!C8*Inputs!B24)</f>
        <v>202.518525909697</v>
      </c>
    </row>
    <row r="17" customFormat="false" ht="15" hidden="false" customHeight="false" outlineLevel="0" collapsed="false">
      <c r="A17" s="5" t="s">
        <v>113</v>
      </c>
      <c r="B17" s="13" t="n">
        <f aca="false">Dimensions!C7-Inputs!B26</f>
        <v>5.86</v>
      </c>
    </row>
    <row r="18" customFormat="false" ht="15" hidden="false" customHeight="false" outlineLevel="0" collapsed="false">
      <c r="A18" s="5" t="s">
        <v>114</v>
      </c>
      <c r="B18" s="18" t="n">
        <f aca="false">B16-B17</f>
        <v>196.658525909697</v>
      </c>
    </row>
    <row r="19" customFormat="false" ht="15" hidden="false" customHeight="false" outlineLevel="0" collapsed="false">
      <c r="A19" s="5" t="s">
        <v>115</v>
      </c>
      <c r="B19" s="13" t="n">
        <f aca="false">Dimensions!C17</f>
        <v>8.86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11" t="s">
        <v>117</v>
      </c>
      <c r="B3" s="11" t="s">
        <v>118</v>
      </c>
      <c r="C3" s="11" t="s">
        <v>119</v>
      </c>
      <c r="D3" s="11" t="s">
        <v>39</v>
      </c>
    </row>
    <row r="4" customFormat="false" ht="15" hidden="false" customHeight="false" outlineLevel="0" collapsed="false">
      <c r="A4" s="5" t="s">
        <v>120</v>
      </c>
      <c r="B4" s="12" t="n">
        <f aca="false">'Volume Tally'!C20*0.247</f>
        <v>6654.52079041966</v>
      </c>
      <c r="C4" s="15" t="n">
        <f aca="false">IFERROR(B4/B9*100,0)</f>
        <v>24.7</v>
      </c>
      <c r="D4" s="7" t="s">
        <v>79</v>
      </c>
    </row>
    <row r="5" customFormat="false" ht="15" hidden="false" customHeight="false" outlineLevel="0" collapsed="false">
      <c r="A5" s="5" t="s">
        <v>121</v>
      </c>
      <c r="B5" s="12" t="n">
        <f aca="false">'Volume Tally'!C20*0.107</f>
        <v>2882.72762985791</v>
      </c>
      <c r="C5" s="15" t="n">
        <f aca="false">IFERROR(B5/B9*100,0)</f>
        <v>10.7</v>
      </c>
      <c r="D5" s="7" t="s">
        <v>122</v>
      </c>
    </row>
    <row r="6" customFormat="false" ht="15" hidden="false" customHeight="false" outlineLevel="0" collapsed="false">
      <c r="A6" s="5" t="s">
        <v>123</v>
      </c>
      <c r="B6" s="12" t="n">
        <f aca="false">'Volume Tally'!C20*0.096</f>
        <v>2586.37245295663</v>
      </c>
      <c r="C6" s="15" t="n">
        <f aca="false">IFERROR(B6/B9*100,0)</f>
        <v>9.6</v>
      </c>
      <c r="D6" s="7" t="s">
        <v>79</v>
      </c>
    </row>
    <row r="7" customFormat="false" ht="15" hidden="false" customHeight="false" outlineLevel="0" collapsed="false">
      <c r="A7" s="5" t="s">
        <v>124</v>
      </c>
      <c r="B7" s="12" t="n">
        <f aca="false">'Volume Tally'!C20*0.409</f>
        <v>11019.024304784</v>
      </c>
      <c r="C7" s="15" t="n">
        <f aca="false">IFERROR(B7/B9*100,0)</f>
        <v>40.9</v>
      </c>
      <c r="D7" s="7" t="s">
        <v>79</v>
      </c>
    </row>
    <row r="8" customFormat="false" ht="15" hidden="false" customHeight="false" outlineLevel="0" collapsed="false">
      <c r="A8" s="5" t="s">
        <v>125</v>
      </c>
      <c r="B8" s="12" t="n">
        <f aca="false">'Volume Tally'!C20*0.141</f>
        <v>3798.73454028005</v>
      </c>
      <c r="C8" s="15" t="n">
        <f aca="false">IFERROR(B8/B9*100,0)</f>
        <v>14.1</v>
      </c>
      <c r="D8" s="7" t="s">
        <v>79</v>
      </c>
    </row>
    <row r="9" customFormat="false" ht="15" hidden="false" customHeight="false" outlineLevel="0" collapsed="false">
      <c r="A9" s="4" t="s">
        <v>126</v>
      </c>
      <c r="B9" s="19" t="n">
        <f aca="false">SUM(B4:B8)</f>
        <v>26941.3797182982</v>
      </c>
    </row>
    <row r="11" customFormat="false" ht="15" hidden="false" customHeight="false" outlineLevel="0" collapsed="false">
      <c r="A11" s="4" t="s">
        <v>127</v>
      </c>
    </row>
    <row r="12" customFormat="false" ht="15" hidden="false" customHeight="false" outlineLevel="0" collapsed="false">
      <c r="A12" s="5" t="s">
        <v>128</v>
      </c>
      <c r="B12" s="12" t="n">
        <f aca="false">0.5*2*3*Dimensions!C4</f>
        <v>471.6</v>
      </c>
    </row>
    <row r="13" customFormat="false" ht="15" hidden="false" customHeight="false" outlineLevel="0" collapsed="false">
      <c r="A13" s="5" t="s">
        <v>129</v>
      </c>
      <c r="B13" s="12" t="n">
        <f aca="false">1*Dimensions!C4*0.33</f>
        <v>51.876</v>
      </c>
    </row>
    <row r="14" customFormat="false" ht="15" hidden="false" customHeight="false" outlineLevel="0" collapsed="false">
      <c r="A14" s="4" t="s">
        <v>130</v>
      </c>
      <c r="B14" s="19" t="n">
        <f aca="false">SUM(B12:B13)</f>
        <v>523.476</v>
      </c>
    </row>
    <row r="16" customFormat="false" ht="17.35" hidden="false" customHeight="false" outlineLevel="0" collapsed="false">
      <c r="A16" s="4" t="s">
        <v>131</v>
      </c>
      <c r="B16" s="20" t="n">
        <f aca="false">B9+B14</f>
        <v>27464.8557182982</v>
      </c>
    </row>
    <row r="18" customFormat="false" ht="15" hidden="false" customHeight="false" outlineLevel="0" collapsed="false">
      <c r="A18" s="4" t="s">
        <v>132</v>
      </c>
    </row>
    <row r="19" customFormat="false" ht="15" hidden="false" customHeight="false" outlineLevel="0" collapsed="false">
      <c r="A19" s="5" t="s">
        <v>133</v>
      </c>
      <c r="B19" s="10" t="n">
        <v>1.79</v>
      </c>
    </row>
    <row r="20" customFormat="false" ht="15" hidden="false" customHeight="false" outlineLevel="0" collapsed="false">
      <c r="A20" s="11" t="s">
        <v>134</v>
      </c>
      <c r="B20" s="11" t="s">
        <v>105</v>
      </c>
      <c r="C20" s="11" t="s">
        <v>135</v>
      </c>
    </row>
    <row r="21" customFormat="false" ht="15" hidden="false" customHeight="false" outlineLevel="0" collapsed="false">
      <c r="A21" s="5" t="s">
        <v>136</v>
      </c>
      <c r="B21" s="12" t="n">
        <f aca="false">ROUND(B16*0.9/B19,0)</f>
        <v>13809</v>
      </c>
      <c r="C21" s="12" t="n">
        <f aca="false">ROUND(B21/2,0)</f>
        <v>6905</v>
      </c>
    </row>
    <row r="22" customFormat="false" ht="15" hidden="false" customHeight="false" outlineLevel="0" collapsed="false">
      <c r="A22" s="5" t="s">
        <v>137</v>
      </c>
      <c r="B22" s="12" t="n">
        <f aca="false">ROUND(B16*0.8/B19,0)</f>
        <v>12275</v>
      </c>
      <c r="C22" s="12" t="n">
        <f aca="false">ROUND(B22/2,0)</f>
        <v>6138</v>
      </c>
    </row>
    <row r="23" customFormat="false" ht="15" hidden="false" customHeight="false" outlineLevel="0" collapsed="false">
      <c r="A23" s="5" t="s">
        <v>138</v>
      </c>
      <c r="B23" s="12" t="n">
        <f aca="false">ROUND(B16*0.7/B19,0)</f>
        <v>10740</v>
      </c>
      <c r="C23" s="12" t="n">
        <f aca="false">ROUND(B23/2,0)</f>
        <v>5370</v>
      </c>
    </row>
    <row r="25" customFormat="false" ht="15" hidden="false" customHeight="false" outlineLevel="0" collapsed="false">
      <c r="A25" s="4" t="s">
        <v>139</v>
      </c>
    </row>
    <row r="26" customFormat="false" ht="15" hidden="false" customHeight="false" outlineLevel="0" collapsed="false">
      <c r="A26" s="5" t="s">
        <v>140</v>
      </c>
      <c r="B26" s="21" t="n">
        <v>40</v>
      </c>
    </row>
    <row r="27" customFormat="false" ht="15" hidden="false" customHeight="false" outlineLevel="0" collapsed="false">
      <c r="A27" s="5" t="s">
        <v>141</v>
      </c>
      <c r="B27" s="21" t="n">
        <v>12</v>
      </c>
    </row>
    <row r="28" customFormat="false" ht="15" hidden="false" customHeight="false" outlineLevel="0" collapsed="false">
      <c r="A28" s="5" t="s">
        <v>142</v>
      </c>
      <c r="B28" s="12" t="n">
        <f aca="false">B26*B27</f>
        <v>480</v>
      </c>
    </row>
    <row r="29" customFormat="false" ht="15" hidden="false" customHeight="false" outlineLevel="0" collapsed="false">
      <c r="A29" s="5" t="s">
        <v>143</v>
      </c>
      <c r="B29" s="12" t="n">
        <f aca="false">B28/2</f>
        <v>240</v>
      </c>
    </row>
    <row r="30" customFormat="false" ht="15" hidden="false" customHeight="false" outlineLevel="0" collapsed="false">
      <c r="A30" s="4" t="s">
        <v>144</v>
      </c>
      <c r="B30" s="17" t="n">
        <f aca="false">C22-B29</f>
        <v>5898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2026-07-25T03:55:46Z</dcterms:created>
  <dc:creator>openpyxl</dc:creator>
  <dc:description/>
  <dc:language>en-US</dc:language>
  <cp:lastModifiedBy/>
  <dcterms:modified xsi:type="dcterms:W3CDTF">2026-07-25T03:55:46Z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