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Data" sheetId="2" state="visible" r:id="rId4"/>
    <sheet name="Cha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<sst xmlns="http://schemas.openxmlformats.org/spreadsheetml/2006/main" count="37" uniqueCount="37">
  <si>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JONSWAP Fetch-Limited Wave Height Calculator</t>
  </si>
  <si>
    <t xml:space="preserve">Hasselmann et al. (1973) / USACE Coastal Engineering Manual</t>
  </si>
  <si>
    <t xml:space="preserve">Noah's Ark Naval Architecture Research — T. Lovett</t>
  </si>
  <si>
    <t xml:space="preserve">Formula</t>
  </si>
  <si>
    <t xml:space="preserve">Fetch-limited:      gHs/U² = 0.0016 · (gF/U²)^0.5</t>
  </si>
  <si>
    <t xml:space="preserve">Fully developed:  gHs/U² = 0.243  (cap)</t>
  </si>
  <si>
    <t xml:space="preserve">U = wind speed at 10m height (m/s),  F = fetch (m),  g = 9.81 m/s²</t>
  </si>
  <si>
    <t xml:space="preserve">Constants  (blue = input — change these to explore)</t>
  </si>
  <si>
    <t xml:space="preserve">g  (m/s²)</t>
  </si>
  <si>
    <t xml:space="preserve">Gravitational acceleration</t>
  </si>
  <si>
    <t xml:space="preserve">Growth coefficient</t>
  </si>
  <si>
    <t xml:space="preserve">JONSWAP Hasselmann et al. 1973</t>
  </si>
  <si>
    <t xml:space="preserve">Fully-developed limit gHs/U²</t>
  </si>
  <si>
    <t xml:space="preserve">JONSWAP fully-developed cap</t>
  </si>
  <si>
    <t xml:space="preserve">Wind Speeds  (blue = input)</t>
  </si>
  <si>
    <t xml:space="preserve">Wind speed 20 kn (m/s)</t>
  </si>
  <si>
    <t xml:space="preserve">20 knots x 0.51444</t>
  </si>
  <si>
    <t xml:space="preserve">Wind speed 30 kn (m/s)</t>
  </si>
  <si>
    <t xml:space="preserve">30 knots x 0.51444</t>
  </si>
  <si>
    <t xml:space="preserve">Wind speed 40 kn (m/s)</t>
  </si>
  <si>
    <t xml:space="preserve">40 knots x 0.51444</t>
  </si>
  <si>
    <t xml:space="preserve">Wind speed 50 kn (m/s)</t>
  </si>
  <si>
    <t xml:space="preserve">50 knots x 0.51444</t>
  </si>
  <si>
    <t xml:space="preserve">Fetch range</t>
  </si>
  <si>
    <t xml:space="preserve">Start (km)</t>
  </si>
  <si>
    <t xml:space="preserve">End (km)</t>
  </si>
  <si>
    <t xml:space="preserve">Step (km)</t>
  </si>
  <si>
    <t xml:space="preserve">Colour key:</t>
  </si>
  <si>
    <t xml:space="preserve">Blue = hardcoded input  |  Green = formula referencing Inputs  |  Black = label</t>
  </si>
  <si>
    <t xml:space="preserve">Fetch (km)</t>
  </si>
  <si>
    <t xml:space="preserve">Hs 20 kn (m)</t>
  </si>
  <si>
    <t xml:space="preserve">Hs 30 kn (m)</t>
  </si>
  <si>
    <t xml:space="preserve">Hs 40 kn (m)</t>
  </si>
  <si>
    <t xml:space="preserve">Hs 50 kn (m)</t>
  </si>
  <si>
    <t xml:space="preserve">JONSWAP Fetch vs Significant Wave Height</t>
  </si>
  <si>
    <t xml:space="preserve">Hasselmann et al. (1973) — Noah's Ark Naval Architecture Research — T. Lovett</t>
  </si>
  <si>
    <t xml:space="preserve">Change wind speeds or fetch range on the Inputs sheet — chart updates automatically.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</si>
</sst>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"20 kn"</c:f>
              <c:strCache>
                <c:ptCount val="1"/>
                <c:pt idx="0">
                  <c:v>20 kn</c:v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Data!$A$2:$A$42</c:f>
              <c:strCache>
                <c:ptCount val="4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</c:strCache>
            </c:strRef>
          </c:cat>
          <c:val>
            <c:numRef>
              <c:f>Data!$B$1:$B$42</c:f>
              <c:numCache>
                <c:formatCode>0.00</c:formatCode>
                <c:ptCount val="42"/>
                <c:pt idx="1">
                  <c:v>0</c:v>
                </c:pt>
                <c:pt idx="2">
                  <c:v>1.17526338585376</c:v>
                </c:pt>
                <c:pt idx="3">
                  <c:v>1.66207341963491</c:v>
                </c:pt>
                <c:pt idx="4">
                  <c:v>2.03561589657414</c:v>
                </c:pt>
                <c:pt idx="5">
                  <c:v>2.35052677170752</c:v>
                </c:pt>
                <c:pt idx="6">
                  <c:v>2.62220545585321</c:v>
                </c:pt>
                <c:pt idx="7">
                  <c:v>2.62220545585321</c:v>
                </c:pt>
                <c:pt idx="8">
                  <c:v>2.62220545585321</c:v>
                </c:pt>
                <c:pt idx="9">
                  <c:v>2.62220545585321</c:v>
                </c:pt>
                <c:pt idx="10">
                  <c:v>2.62220545585321</c:v>
                </c:pt>
                <c:pt idx="11">
                  <c:v>2.62220545585321</c:v>
                </c:pt>
                <c:pt idx="12">
                  <c:v>2.62220545585321</c:v>
                </c:pt>
                <c:pt idx="13">
                  <c:v>2.62220545585321</c:v>
                </c:pt>
                <c:pt idx="14">
                  <c:v>2.62220545585321</c:v>
                </c:pt>
                <c:pt idx="15">
                  <c:v>2.62220545585321</c:v>
                </c:pt>
                <c:pt idx="16">
                  <c:v>2.62220545585321</c:v>
                </c:pt>
                <c:pt idx="17">
                  <c:v>2.62220545585321</c:v>
                </c:pt>
                <c:pt idx="18">
                  <c:v>2.62220545585321</c:v>
                </c:pt>
                <c:pt idx="19">
                  <c:v>2.62220545585321</c:v>
                </c:pt>
                <c:pt idx="20">
                  <c:v>2.62220545585321</c:v>
                </c:pt>
                <c:pt idx="21">
                  <c:v>2.62220545585321</c:v>
                </c:pt>
                <c:pt idx="22">
                  <c:v>2.62220545585321</c:v>
                </c:pt>
                <c:pt idx="23">
                  <c:v>2.62220545585321</c:v>
                </c:pt>
                <c:pt idx="24">
                  <c:v>2.62220545585321</c:v>
                </c:pt>
                <c:pt idx="25">
                  <c:v>2.62220545585321</c:v>
                </c:pt>
                <c:pt idx="26">
                  <c:v>2.62220545585321</c:v>
                </c:pt>
                <c:pt idx="27">
                  <c:v>2.62220545585321</c:v>
                </c:pt>
                <c:pt idx="28">
                  <c:v>2.62220545585321</c:v>
                </c:pt>
                <c:pt idx="29">
                  <c:v>2.62220545585321</c:v>
                </c:pt>
                <c:pt idx="30">
                  <c:v>2.62220545585321</c:v>
                </c:pt>
                <c:pt idx="31">
                  <c:v>2.62220545585321</c:v>
                </c:pt>
                <c:pt idx="32">
                  <c:v>2.62220545585321</c:v>
                </c:pt>
                <c:pt idx="33">
                  <c:v>2.62220545585321</c:v>
                </c:pt>
                <c:pt idx="34">
                  <c:v>2.62220545585321</c:v>
                </c:pt>
                <c:pt idx="35">
                  <c:v>2.62220545585321</c:v>
                </c:pt>
                <c:pt idx="36">
                  <c:v>2.62220545585321</c:v>
                </c:pt>
                <c:pt idx="37">
                  <c:v>2.62220545585321</c:v>
                </c:pt>
                <c:pt idx="38">
                  <c:v>2.62220545585321</c:v>
                </c:pt>
                <c:pt idx="39">
                  <c:v>2.62220545585321</c:v>
                </c:pt>
                <c:pt idx="40">
                  <c:v>2.62220545585321</c:v>
                </c:pt>
                <c:pt idx="41">
                  <c:v>2.62220545585321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"30 kn"</c:f>
              <c:strCache>
                <c:ptCount val="1"/>
                <c:pt idx="0">
                  <c:v>30 kn</c:v>
                </c:pt>
              </c:strCache>
            </c:strRef>
          </c:tx>
          <c:spPr>
            <a:solidFill>
              <a:srgbClr val="be4b48"/>
            </a:solidFill>
            <a:ln w="24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Data!$A$2:$A$42</c:f>
              <c:strCache>
                <c:ptCount val="4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</c:strCache>
            </c:strRef>
          </c:cat>
          <c:val>
            <c:numRef>
              <c:f>Data!$C$1:$C$42</c:f>
              <c:numCache>
                <c:formatCode>0.00</c:formatCode>
                <c:ptCount val="42"/>
                <c:pt idx="1">
                  <c:v>0</c:v>
                </c:pt>
                <c:pt idx="2">
                  <c:v>1.76289507878064</c:v>
                </c:pt>
                <c:pt idx="3">
                  <c:v>2.49311012945236</c:v>
                </c:pt>
                <c:pt idx="4">
                  <c:v>3.0534238448612</c:v>
                </c:pt>
                <c:pt idx="5">
                  <c:v>3.52579015756128</c:v>
                </c:pt>
                <c:pt idx="6">
                  <c:v>3.94195323335335</c:v>
                </c:pt>
                <c:pt idx="7">
                  <c:v>4.31819341307612</c:v>
                </c:pt>
                <c:pt idx="8">
                  <c:v>4.66418196595319</c:v>
                </c:pt>
                <c:pt idx="9">
                  <c:v>4.98622025890473</c:v>
                </c:pt>
                <c:pt idx="10">
                  <c:v>5.28868523634191</c:v>
                </c:pt>
                <c:pt idx="11">
                  <c:v>5.57476372484879</c:v>
                </c:pt>
                <c:pt idx="12">
                  <c:v>5.8468615210794</c:v>
                </c:pt>
                <c:pt idx="13">
                  <c:v>5.89996227566972</c:v>
                </c:pt>
                <c:pt idx="14">
                  <c:v>5.89996227566972</c:v>
                </c:pt>
                <c:pt idx="15">
                  <c:v>5.89996227566972</c:v>
                </c:pt>
                <c:pt idx="16">
                  <c:v>5.89996227566972</c:v>
                </c:pt>
                <c:pt idx="17">
                  <c:v>5.89996227566972</c:v>
                </c:pt>
                <c:pt idx="18">
                  <c:v>5.89996227566972</c:v>
                </c:pt>
                <c:pt idx="19">
                  <c:v>5.89996227566972</c:v>
                </c:pt>
                <c:pt idx="20">
                  <c:v>5.89996227566972</c:v>
                </c:pt>
                <c:pt idx="21">
                  <c:v>5.89996227566972</c:v>
                </c:pt>
                <c:pt idx="22">
                  <c:v>5.89996227566972</c:v>
                </c:pt>
                <c:pt idx="23">
                  <c:v>5.89996227566972</c:v>
                </c:pt>
                <c:pt idx="24">
                  <c:v>5.89996227566972</c:v>
                </c:pt>
                <c:pt idx="25">
                  <c:v>5.89996227566972</c:v>
                </c:pt>
                <c:pt idx="26">
                  <c:v>5.89996227566972</c:v>
                </c:pt>
                <c:pt idx="27">
                  <c:v>5.89996227566972</c:v>
                </c:pt>
                <c:pt idx="28">
                  <c:v>5.89996227566972</c:v>
                </c:pt>
                <c:pt idx="29">
                  <c:v>5.89996227566972</c:v>
                </c:pt>
                <c:pt idx="30">
                  <c:v>5.89996227566972</c:v>
                </c:pt>
                <c:pt idx="31">
                  <c:v>5.89996227566972</c:v>
                </c:pt>
                <c:pt idx="32">
                  <c:v>5.89996227566972</c:v>
                </c:pt>
                <c:pt idx="33">
                  <c:v>5.89996227566972</c:v>
                </c:pt>
                <c:pt idx="34">
                  <c:v>5.89996227566972</c:v>
                </c:pt>
                <c:pt idx="35">
                  <c:v>5.89996227566972</c:v>
                </c:pt>
                <c:pt idx="36">
                  <c:v>5.89996227566972</c:v>
                </c:pt>
                <c:pt idx="37">
                  <c:v>5.89996227566972</c:v>
                </c:pt>
                <c:pt idx="38">
                  <c:v>5.89996227566972</c:v>
                </c:pt>
                <c:pt idx="39">
                  <c:v>5.89996227566972</c:v>
                </c:pt>
                <c:pt idx="40">
                  <c:v>5.89996227566972</c:v>
                </c:pt>
                <c:pt idx="41">
                  <c:v>5.89996227566972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"40 kn"</c:f>
              <c:strCache>
                <c:ptCount val="1"/>
                <c:pt idx="0">
                  <c:v>40 kn</c:v>
                </c:pt>
              </c:strCache>
            </c:strRef>
          </c:tx>
          <c:spPr>
            <a:solidFill>
              <a:srgbClr val="98b855"/>
            </a:solidFill>
            <a:ln w="248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Data!$A$2:$A$42</c:f>
              <c:strCache>
                <c:ptCount val="4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</c:strCache>
            </c:strRef>
          </c:cat>
          <c:val>
            <c:numRef>
              <c:f>Data!$D$1:$D$42</c:f>
              <c:numCache>
                <c:formatCode>0.00</c:formatCode>
                <c:ptCount val="42"/>
                <c:pt idx="1">
                  <c:v>0</c:v>
                </c:pt>
                <c:pt idx="2">
                  <c:v>2.35052677170752</c:v>
                </c:pt>
                <c:pt idx="3">
                  <c:v>3.32414683926982</c:v>
                </c:pt>
                <c:pt idx="4">
                  <c:v>4.07123179314827</c:v>
                </c:pt>
                <c:pt idx="5">
                  <c:v>4.70105354341503</c:v>
                </c:pt>
                <c:pt idx="6">
                  <c:v>5.25593764447114</c:v>
                </c:pt>
                <c:pt idx="7">
                  <c:v>5.75759121743482</c:v>
                </c:pt>
                <c:pt idx="8">
                  <c:v>6.21890928793758</c:v>
                </c:pt>
                <c:pt idx="9">
                  <c:v>6.64829367853964</c:v>
                </c:pt>
                <c:pt idx="10">
                  <c:v>7.05158031512255</c:v>
                </c:pt>
                <c:pt idx="11">
                  <c:v>7.43301829979838</c:v>
                </c:pt>
                <c:pt idx="12">
                  <c:v>7.7958153614392</c:v>
                </c:pt>
                <c:pt idx="13">
                  <c:v>8.14246358629654</c:v>
                </c:pt>
                <c:pt idx="14">
                  <c:v>8.47494479974229</c:v>
                </c:pt>
                <c:pt idx="15">
                  <c:v>8.79486585816934</c:v>
                </c:pt>
                <c:pt idx="16">
                  <c:v>9.1035510416379</c:v>
                </c:pt>
                <c:pt idx="17">
                  <c:v>9.40210708683007</c:v>
                </c:pt>
                <c:pt idx="18">
                  <c:v>9.69147015559218</c:v>
                </c:pt>
                <c:pt idx="19">
                  <c:v>9.97244051780946</c:v>
                </c:pt>
                <c:pt idx="20">
                  <c:v>10.24570866196</c:v>
                </c:pt>
                <c:pt idx="21">
                  <c:v>10.4888218234128</c:v>
                </c:pt>
                <c:pt idx="22">
                  <c:v>10.4888218234128</c:v>
                </c:pt>
                <c:pt idx="23">
                  <c:v>10.4888218234128</c:v>
                </c:pt>
                <c:pt idx="24">
                  <c:v>10.4888218234128</c:v>
                </c:pt>
                <c:pt idx="25">
                  <c:v>10.4888218234128</c:v>
                </c:pt>
                <c:pt idx="26">
                  <c:v>10.4888218234128</c:v>
                </c:pt>
                <c:pt idx="27">
                  <c:v>10.4888218234128</c:v>
                </c:pt>
                <c:pt idx="28">
                  <c:v>10.4888218234128</c:v>
                </c:pt>
                <c:pt idx="29">
                  <c:v>10.4888218234128</c:v>
                </c:pt>
                <c:pt idx="30">
                  <c:v>10.4888218234128</c:v>
                </c:pt>
                <c:pt idx="31">
                  <c:v>10.4888218234128</c:v>
                </c:pt>
                <c:pt idx="32">
                  <c:v>10.4888218234128</c:v>
                </c:pt>
                <c:pt idx="33">
                  <c:v>10.4888218234128</c:v>
                </c:pt>
                <c:pt idx="34">
                  <c:v>10.4888218234128</c:v>
                </c:pt>
                <c:pt idx="35">
                  <c:v>10.4888218234128</c:v>
                </c:pt>
                <c:pt idx="36">
                  <c:v>10.4888218234128</c:v>
                </c:pt>
                <c:pt idx="37">
                  <c:v>10.4888218234128</c:v>
                </c:pt>
                <c:pt idx="38">
                  <c:v>10.4888218234128</c:v>
                </c:pt>
                <c:pt idx="39">
                  <c:v>10.4888218234128</c:v>
                </c:pt>
                <c:pt idx="40">
                  <c:v>10.4888218234128</c:v>
                </c:pt>
                <c:pt idx="41">
                  <c:v>10.4888218234128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"50 kn"</c:f>
              <c:strCache>
                <c:ptCount val="1"/>
                <c:pt idx="0">
                  <c:v>50 kn</c:v>
                </c:pt>
              </c:strCache>
            </c:strRef>
          </c:tx>
          <c:spPr>
            <a:solidFill>
              <a:srgbClr val="7d5fa0"/>
            </a:solidFill>
            <a:ln w="248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Data!$A$2:$A$42</c:f>
              <c:strCache>
                <c:ptCount val="4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</c:strCache>
            </c:strRef>
          </c:cat>
          <c:val>
            <c:numRef>
              <c:f>Data!$E$1:$E$42</c:f>
              <c:numCache>
                <c:formatCode>0.00</c:formatCode>
                <c:ptCount val="42"/>
                <c:pt idx="1">
                  <c:v>0</c:v>
                </c:pt>
                <c:pt idx="2">
                  <c:v>2.9381584646344</c:v>
                </c:pt>
                <c:pt idx="3">
                  <c:v>4.15518354908727</c:v>
                </c:pt>
                <c:pt idx="4">
                  <c:v>5.08903974143534</c:v>
                </c:pt>
                <c:pt idx="5">
                  <c:v>5.87631692926879</c:v>
                </c:pt>
                <c:pt idx="6">
                  <c:v>6.56992205558892</c:v>
                </c:pt>
                <c:pt idx="7">
                  <c:v>7.19698902179353</c:v>
                </c:pt>
                <c:pt idx="8">
                  <c:v>7.77363660992198</c:v>
                </c:pt>
                <c:pt idx="9">
                  <c:v>8.31036709817455</c:v>
                </c:pt>
                <c:pt idx="10">
                  <c:v>8.81447539390319</c:v>
                </c:pt>
                <c:pt idx="11">
                  <c:v>9.29127287474798</c:v>
                </c:pt>
                <c:pt idx="12">
                  <c:v>9.744769201799</c:v>
                </c:pt>
                <c:pt idx="13">
                  <c:v>10.1780794828707</c:v>
                </c:pt>
                <c:pt idx="14">
                  <c:v>10.5936809996779</c:v>
                </c:pt>
                <c:pt idx="15">
                  <c:v>10.9935823227117</c:v>
                </c:pt>
                <c:pt idx="16">
                  <c:v>11.3794388020474</c:v>
                </c:pt>
                <c:pt idx="17">
                  <c:v>11.7526338585376</c:v>
                </c:pt>
                <c:pt idx="18">
                  <c:v>12.1143376944902</c:v>
                </c:pt>
                <c:pt idx="19">
                  <c:v>12.4655506472618</c:v>
                </c:pt>
                <c:pt idx="20">
                  <c:v>12.80713582745</c:v>
                </c:pt>
                <c:pt idx="21">
                  <c:v>13.1398441111778</c:v>
                </c:pt>
                <c:pt idx="22">
                  <c:v>13.4643335679624</c:v>
                </c:pt>
                <c:pt idx="23">
                  <c:v>13.7811847673798</c:v>
                </c:pt>
                <c:pt idx="24">
                  <c:v>14.0909129851817</c:v>
                </c:pt>
                <c:pt idx="25">
                  <c:v>14.3939780435871</c:v>
                </c:pt>
                <c:pt idx="26">
                  <c:v>14.690792323172</c:v>
                </c:pt>
                <c:pt idx="27">
                  <c:v>14.9817273451986</c:v>
                </c:pt>
                <c:pt idx="28">
                  <c:v>15.267119224306</c:v>
                </c:pt>
                <c:pt idx="29">
                  <c:v>15.547273219844</c:v>
                </c:pt>
                <c:pt idx="30">
                  <c:v>15.8224675615335</c:v>
                </c:pt>
                <c:pt idx="31">
                  <c:v>16.09295668605</c:v>
                </c:pt>
                <c:pt idx="32">
                  <c:v>16.3589739917388</c:v>
                </c:pt>
                <c:pt idx="33">
                  <c:v>16.3887840990826</c:v>
                </c:pt>
                <c:pt idx="34">
                  <c:v>16.3887840990826</c:v>
                </c:pt>
                <c:pt idx="35">
                  <c:v>16.3887840990826</c:v>
                </c:pt>
                <c:pt idx="36">
                  <c:v>16.3887840990826</c:v>
                </c:pt>
                <c:pt idx="37">
                  <c:v>16.3887840990826</c:v>
                </c:pt>
                <c:pt idx="38">
                  <c:v>16.3887840990826</c:v>
                </c:pt>
                <c:pt idx="39">
                  <c:v>16.3887840990826</c:v>
                </c:pt>
                <c:pt idx="40">
                  <c:v>16.3887840990826</c:v>
                </c:pt>
                <c:pt idx="41">
                  <c:v>16.3887840990826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798302"/>
        <c:axId val="4028104"/>
      </c:lineChart>
      <c:catAx>
        <c:axId val="387983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Fetch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8104"/>
        <c:crosses val="autoZero"/>
        <c:auto val="1"/>
        <c:lblAlgn val="ctr"/>
        <c:lblOffset val="100"/>
        <c:noMultiLvlLbl val="0"/>
      </c:catAx>
      <c:valAx>
        <c:axId val="4028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Hs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983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160920</xdr:rowOff>
    </xdr:from>
    <xdr:to>
      <xdr:col>14</xdr:col>
      <xdr:colOff>77760</xdr:colOff>
      <xdr:row>34</xdr:row>
      <xdr:rowOff>14040</xdr:rowOff>
    </xdr:to>
    <xdr:graphicFrame>
      <xdr:nvGraphicFramePr>
        <xdr:cNvPr id="0" name="Chart 1"/>
        <xdr:cNvGraphicFramePr/>
      </xdr:nvGraphicFramePr>
      <xdr:xfrm>
        <a:off x="0" y="761040"/>
        <a:ext cx="8638920" cy="57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9.81</v>
      </c>
      <c r="C11" s="7" t="s">
        <v>9</v>
      </c>
    </row>
    <row r="12" customFormat="false" ht="15" hidden="false" customHeight="true" outlineLevel="0" collapsed="false">
      <c r="A12" s="5" t="s">
        <v>10</v>
      </c>
      <c r="B12" s="6" t="n">
        <v>0.0016</v>
      </c>
      <c r="C12" s="7" t="s">
        <v>11</v>
      </c>
    </row>
    <row r="13" customFormat="false" ht="15" hidden="false" customHeight="true" outlineLevel="0" collapsed="false">
      <c r="A13" s="5" t="s">
        <v>12</v>
      </c>
      <c r="B13" s="6" t="n">
        <v>0.243</v>
      </c>
      <c r="C13" s="7" t="s">
        <v>13</v>
      </c>
    </row>
    <row r="15" customFormat="false" ht="15" hidden="false" customHeight="true" outlineLevel="0" collapsed="false">
      <c r="A15" s="4" t="s">
        <v>14</v>
      </c>
    </row>
    <row r="16" customFormat="false" ht="15" hidden="false" customHeight="true" outlineLevel="0" collapsed="false">
      <c r="A16" s="5" t="s">
        <v>15</v>
      </c>
      <c r="B16" s="6" t="n">
        <v>10.2888</v>
      </c>
      <c r="C16" s="7" t="s">
        <v>16</v>
      </c>
    </row>
    <row r="17" customFormat="false" ht="15" hidden="false" customHeight="true" outlineLevel="0" collapsed="false">
      <c r="A17" s="5" t="s">
        <v>17</v>
      </c>
      <c r="B17" s="6" t="n">
        <v>15.4332</v>
      </c>
      <c r="C17" s="7" t="s">
        <v>18</v>
      </c>
    </row>
    <row r="18" customFormat="false" ht="15" hidden="false" customHeight="true" outlineLevel="0" collapsed="false">
      <c r="A18" s="5" t="s">
        <v>19</v>
      </c>
      <c r="B18" s="6" t="n">
        <v>20.5776</v>
      </c>
      <c r="C18" s="7" t="s">
        <v>20</v>
      </c>
    </row>
    <row r="19" customFormat="false" ht="15" hidden="false" customHeight="true" outlineLevel="0" collapsed="false">
      <c r="A19" s="5" t="s">
        <v>21</v>
      </c>
      <c r="B19" s="6" t="n">
        <v>25.722</v>
      </c>
      <c r="C19" s="7" t="s">
        <v>22</v>
      </c>
    </row>
    <row r="21" customFormat="false" ht="15" hidden="false" customHeight="true" outlineLevel="0" collapsed="false">
      <c r="A21" s="4" t="s">
        <v>23</v>
      </c>
    </row>
    <row r="22" customFormat="false" ht="15" hidden="false" customHeight="true" outlineLevel="0" collapsed="false">
      <c r="A22" s="5" t="s">
        <v>24</v>
      </c>
      <c r="B22" s="8" t="n">
        <v>0</v>
      </c>
    </row>
    <row r="23" customFormat="false" ht="15" hidden="false" customHeight="true" outlineLevel="0" collapsed="false">
      <c r="A23" s="5" t="s">
        <v>25</v>
      </c>
      <c r="B23" s="8" t="n">
        <v>2000</v>
      </c>
    </row>
    <row r="24" customFormat="false" ht="15" hidden="false" customHeight="true" outlineLevel="0" collapsed="false">
      <c r="A24" s="5" t="s">
        <v>26</v>
      </c>
      <c r="B24" s="8" t="n">
        <v>50</v>
      </c>
    </row>
    <row r="26" customFormat="false" ht="15" hidden="false" customHeight="true" outlineLevel="0" collapsed="false">
      <c r="A26" s="4" t="s">
        <v>27</v>
      </c>
    </row>
    <row r="27" customFormat="false" ht="15" hidden="false" customHeight="true" outlineLevel="0" collapsed="false">
      <c r="A27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6"/>
  </cols>
  <sheetData>
    <row r="1" customFormat="false" ht="15" hidden="false" customHeight="true" outlineLevel="0" collapsed="false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</row>
    <row r="2" customFormat="false" ht="15" hidden="false" customHeight="true" outlineLevel="0" collapsed="false">
      <c r="A2" s="10" t="n">
        <f aca="false">Inputs!$B$22+0*Inputs!$B$24</f>
        <v>0</v>
      </c>
      <c r="B2" s="11" t="n">
        <f aca="false">IF(A2=0,0,MIN(Inputs!$B$13,Inputs!$B$12*SQRT(Inputs!$B$11*A2*1000/(Inputs!$B$16^2)))*Inputs!$B$16^2/Inputs!$B$11)</f>
        <v>0</v>
      </c>
      <c r="C2" s="11" t="n">
        <f aca="false">IF(A2=0,0,MIN(Inputs!$B$13,Inputs!$B$12*SQRT(Inputs!$B$11*A2*1000/(Inputs!$B$17^2)))*Inputs!$B$17^2/Inputs!$B$11)</f>
        <v>0</v>
      </c>
      <c r="D2" s="11" t="n">
        <f aca="false">IF(A2=0,0,MIN(Inputs!$B$13,Inputs!$B$12*SQRT(Inputs!$B$11*A2*1000/(Inputs!$B$18^2)))*Inputs!$B$18^2/Inputs!$B$11)</f>
        <v>0</v>
      </c>
      <c r="E2" s="11" t="n">
        <f aca="false">IF(A2=0,0,MIN(Inputs!$B$13,Inputs!$B$12*SQRT(Inputs!$B$11*A2*1000/(Inputs!$B$19^2)))*Inputs!$B$19^2/Inputs!$B$11)</f>
        <v>0</v>
      </c>
    </row>
    <row r="3" customFormat="false" ht="15" hidden="false" customHeight="true" outlineLevel="0" collapsed="false">
      <c r="A3" s="10" t="n">
        <f aca="false">Inputs!$B$22+1*Inputs!$B$24</f>
        <v>50</v>
      </c>
      <c r="B3" s="11" t="n">
        <f aca="false">IF(A3=0,0,MIN(Inputs!$B$13,Inputs!$B$12*SQRT(Inputs!$B$11*A3*1000/(Inputs!$B$16^2)))*Inputs!$B$16^2/Inputs!$B$11)</f>
        <v>1.17526338585376</v>
      </c>
      <c r="C3" s="11" t="n">
        <f aca="false">IF(A3=0,0,MIN(Inputs!$B$13,Inputs!$B$12*SQRT(Inputs!$B$11*A3*1000/(Inputs!$B$17^2)))*Inputs!$B$17^2/Inputs!$B$11)</f>
        <v>1.76289507878064</v>
      </c>
      <c r="D3" s="11" t="n">
        <f aca="false">IF(A3=0,0,MIN(Inputs!$B$13,Inputs!$B$12*SQRT(Inputs!$B$11*A3*1000/(Inputs!$B$18^2)))*Inputs!$B$18^2/Inputs!$B$11)</f>
        <v>2.35052677170752</v>
      </c>
      <c r="E3" s="11" t="n">
        <f aca="false">IF(A3=0,0,MIN(Inputs!$B$13,Inputs!$B$12*SQRT(Inputs!$B$11*A3*1000/(Inputs!$B$19^2)))*Inputs!$B$19^2/Inputs!$B$11)</f>
        <v>2.9381584646344</v>
      </c>
    </row>
    <row r="4" customFormat="false" ht="15" hidden="false" customHeight="true" outlineLevel="0" collapsed="false">
      <c r="A4" s="10" t="n">
        <f aca="false">Inputs!$B$22+2*Inputs!$B$24</f>
        <v>100</v>
      </c>
      <c r="B4" s="11" t="n">
        <f aca="false">IF(A4=0,0,MIN(Inputs!$B$13,Inputs!$B$12*SQRT(Inputs!$B$11*A4*1000/(Inputs!$B$16^2)))*Inputs!$B$16^2/Inputs!$B$11)</f>
        <v>1.66207341963491</v>
      </c>
      <c r="C4" s="11" t="n">
        <f aca="false">IF(A4=0,0,MIN(Inputs!$B$13,Inputs!$B$12*SQRT(Inputs!$B$11*A4*1000/(Inputs!$B$17^2)))*Inputs!$B$17^2/Inputs!$B$11)</f>
        <v>2.49311012945236</v>
      </c>
      <c r="D4" s="11" t="n">
        <f aca="false">IF(A4=0,0,MIN(Inputs!$B$13,Inputs!$B$12*SQRT(Inputs!$B$11*A4*1000/(Inputs!$B$18^2)))*Inputs!$B$18^2/Inputs!$B$11)</f>
        <v>3.32414683926982</v>
      </c>
      <c r="E4" s="11" t="n">
        <f aca="false">IF(A4=0,0,MIN(Inputs!$B$13,Inputs!$B$12*SQRT(Inputs!$B$11*A4*1000/(Inputs!$B$19^2)))*Inputs!$B$19^2/Inputs!$B$11)</f>
        <v>4.15518354908727</v>
      </c>
    </row>
    <row r="5" customFormat="false" ht="15" hidden="false" customHeight="true" outlineLevel="0" collapsed="false">
      <c r="A5" s="10" t="n">
        <f aca="false">Inputs!$B$22+3*Inputs!$B$24</f>
        <v>150</v>
      </c>
      <c r="B5" s="11" t="n">
        <f aca="false">IF(A5=0,0,MIN(Inputs!$B$13,Inputs!$B$12*SQRT(Inputs!$B$11*A5*1000/(Inputs!$B$16^2)))*Inputs!$B$16^2/Inputs!$B$11)</f>
        <v>2.03561589657414</v>
      </c>
      <c r="C5" s="11" t="n">
        <f aca="false">IF(A5=0,0,MIN(Inputs!$B$13,Inputs!$B$12*SQRT(Inputs!$B$11*A5*1000/(Inputs!$B$17^2)))*Inputs!$B$17^2/Inputs!$B$11)</f>
        <v>3.0534238448612</v>
      </c>
      <c r="D5" s="11" t="n">
        <f aca="false">IF(A5=0,0,MIN(Inputs!$B$13,Inputs!$B$12*SQRT(Inputs!$B$11*A5*1000/(Inputs!$B$18^2)))*Inputs!$B$18^2/Inputs!$B$11)</f>
        <v>4.07123179314827</v>
      </c>
      <c r="E5" s="11" t="n">
        <f aca="false">IF(A5=0,0,MIN(Inputs!$B$13,Inputs!$B$12*SQRT(Inputs!$B$11*A5*1000/(Inputs!$B$19^2)))*Inputs!$B$19^2/Inputs!$B$11)</f>
        <v>5.08903974143534</v>
      </c>
    </row>
    <row r="6" customFormat="false" ht="15" hidden="false" customHeight="true" outlineLevel="0" collapsed="false">
      <c r="A6" s="10" t="n">
        <f aca="false">Inputs!$B$22+4*Inputs!$B$24</f>
        <v>200</v>
      </c>
      <c r="B6" s="11" t="n">
        <f aca="false">IF(A6=0,0,MIN(Inputs!$B$13,Inputs!$B$12*SQRT(Inputs!$B$11*A6*1000/(Inputs!$B$16^2)))*Inputs!$B$16^2/Inputs!$B$11)</f>
        <v>2.35052677170752</v>
      </c>
      <c r="C6" s="11" t="n">
        <f aca="false">IF(A6=0,0,MIN(Inputs!$B$13,Inputs!$B$12*SQRT(Inputs!$B$11*A6*1000/(Inputs!$B$17^2)))*Inputs!$B$17^2/Inputs!$B$11)</f>
        <v>3.52579015756128</v>
      </c>
      <c r="D6" s="11" t="n">
        <f aca="false">IF(A6=0,0,MIN(Inputs!$B$13,Inputs!$B$12*SQRT(Inputs!$B$11*A6*1000/(Inputs!$B$18^2)))*Inputs!$B$18^2/Inputs!$B$11)</f>
        <v>4.70105354341503</v>
      </c>
      <c r="E6" s="11" t="n">
        <f aca="false">IF(A6=0,0,MIN(Inputs!$B$13,Inputs!$B$12*SQRT(Inputs!$B$11*A6*1000/(Inputs!$B$19^2)))*Inputs!$B$19^2/Inputs!$B$11)</f>
        <v>5.87631692926879</v>
      </c>
    </row>
    <row r="7" customFormat="false" ht="15" hidden="false" customHeight="true" outlineLevel="0" collapsed="false">
      <c r="A7" s="10" t="n">
        <f aca="false">Inputs!$B$22+5*Inputs!$B$24</f>
        <v>250</v>
      </c>
      <c r="B7" s="11" t="n">
        <f aca="false">IF(A7=0,0,MIN(Inputs!$B$13,Inputs!$B$12*SQRT(Inputs!$B$11*A7*1000/(Inputs!$B$16^2)))*Inputs!$B$16^2/Inputs!$B$11)</f>
        <v>2.62220545585321</v>
      </c>
      <c r="C7" s="11" t="n">
        <f aca="false">IF(A7=0,0,MIN(Inputs!$B$13,Inputs!$B$12*SQRT(Inputs!$B$11*A7*1000/(Inputs!$B$17^2)))*Inputs!$B$17^2/Inputs!$B$11)</f>
        <v>3.94195323335335</v>
      </c>
      <c r="D7" s="11" t="n">
        <f aca="false">IF(A7=0,0,MIN(Inputs!$B$13,Inputs!$B$12*SQRT(Inputs!$B$11*A7*1000/(Inputs!$B$18^2)))*Inputs!$B$18^2/Inputs!$B$11)</f>
        <v>5.25593764447114</v>
      </c>
      <c r="E7" s="11" t="n">
        <f aca="false">IF(A7=0,0,MIN(Inputs!$B$13,Inputs!$B$12*SQRT(Inputs!$B$11*A7*1000/(Inputs!$B$19^2)))*Inputs!$B$19^2/Inputs!$B$11)</f>
        <v>6.56992205558892</v>
      </c>
    </row>
    <row r="8" customFormat="false" ht="15" hidden="false" customHeight="true" outlineLevel="0" collapsed="false">
      <c r="A8" s="10" t="n">
        <f aca="false">Inputs!$B$22+6*Inputs!$B$24</f>
        <v>300</v>
      </c>
      <c r="B8" s="11" t="n">
        <f aca="false">IF(A8=0,0,MIN(Inputs!$B$13,Inputs!$B$12*SQRT(Inputs!$B$11*A8*1000/(Inputs!$B$16^2)))*Inputs!$B$16^2/Inputs!$B$11)</f>
        <v>2.62220545585321</v>
      </c>
      <c r="C8" s="11" t="n">
        <f aca="false">IF(A8=0,0,MIN(Inputs!$B$13,Inputs!$B$12*SQRT(Inputs!$B$11*A8*1000/(Inputs!$B$17^2)))*Inputs!$B$17^2/Inputs!$B$11)</f>
        <v>4.31819341307612</v>
      </c>
      <c r="D8" s="11" t="n">
        <f aca="false">IF(A8=0,0,MIN(Inputs!$B$13,Inputs!$B$12*SQRT(Inputs!$B$11*A8*1000/(Inputs!$B$18^2)))*Inputs!$B$18^2/Inputs!$B$11)</f>
        <v>5.75759121743482</v>
      </c>
      <c r="E8" s="11" t="n">
        <f aca="false">IF(A8=0,0,MIN(Inputs!$B$13,Inputs!$B$12*SQRT(Inputs!$B$11*A8*1000/(Inputs!$B$19^2)))*Inputs!$B$19^2/Inputs!$B$11)</f>
        <v>7.19698902179353</v>
      </c>
    </row>
    <row r="9" customFormat="false" ht="15" hidden="false" customHeight="true" outlineLevel="0" collapsed="false">
      <c r="A9" s="10" t="n">
        <f aca="false">Inputs!$B$22+7*Inputs!$B$24</f>
        <v>350</v>
      </c>
      <c r="B9" s="11" t="n">
        <f aca="false">IF(A9=0,0,MIN(Inputs!$B$13,Inputs!$B$12*SQRT(Inputs!$B$11*A9*1000/(Inputs!$B$16^2)))*Inputs!$B$16^2/Inputs!$B$11)</f>
        <v>2.62220545585321</v>
      </c>
      <c r="C9" s="11" t="n">
        <f aca="false">IF(A9=0,0,MIN(Inputs!$B$13,Inputs!$B$12*SQRT(Inputs!$B$11*A9*1000/(Inputs!$B$17^2)))*Inputs!$B$17^2/Inputs!$B$11)</f>
        <v>4.66418196595319</v>
      </c>
      <c r="D9" s="11" t="n">
        <f aca="false">IF(A9=0,0,MIN(Inputs!$B$13,Inputs!$B$12*SQRT(Inputs!$B$11*A9*1000/(Inputs!$B$18^2)))*Inputs!$B$18^2/Inputs!$B$11)</f>
        <v>6.21890928793758</v>
      </c>
      <c r="E9" s="11" t="n">
        <f aca="false">IF(A9=0,0,MIN(Inputs!$B$13,Inputs!$B$12*SQRT(Inputs!$B$11*A9*1000/(Inputs!$B$19^2)))*Inputs!$B$19^2/Inputs!$B$11)</f>
        <v>7.77363660992198</v>
      </c>
    </row>
    <row r="10" customFormat="false" ht="15" hidden="false" customHeight="true" outlineLevel="0" collapsed="false">
      <c r="A10" s="10" t="n">
        <f aca="false">Inputs!$B$22+8*Inputs!$B$24</f>
        <v>400</v>
      </c>
      <c r="B10" s="11" t="n">
        <f aca="false">IF(A10=0,0,MIN(Inputs!$B$13,Inputs!$B$12*SQRT(Inputs!$B$11*A10*1000/(Inputs!$B$16^2)))*Inputs!$B$16^2/Inputs!$B$11)</f>
        <v>2.62220545585321</v>
      </c>
      <c r="C10" s="11" t="n">
        <f aca="false">IF(A10=0,0,MIN(Inputs!$B$13,Inputs!$B$12*SQRT(Inputs!$B$11*A10*1000/(Inputs!$B$17^2)))*Inputs!$B$17^2/Inputs!$B$11)</f>
        <v>4.98622025890473</v>
      </c>
      <c r="D10" s="11" t="n">
        <f aca="false">IF(A10=0,0,MIN(Inputs!$B$13,Inputs!$B$12*SQRT(Inputs!$B$11*A10*1000/(Inputs!$B$18^2)))*Inputs!$B$18^2/Inputs!$B$11)</f>
        <v>6.64829367853964</v>
      </c>
      <c r="E10" s="11" t="n">
        <f aca="false">IF(A10=0,0,MIN(Inputs!$B$13,Inputs!$B$12*SQRT(Inputs!$B$11*A10*1000/(Inputs!$B$19^2)))*Inputs!$B$19^2/Inputs!$B$11)</f>
        <v>8.31036709817455</v>
      </c>
    </row>
    <row r="11" customFormat="false" ht="15" hidden="false" customHeight="true" outlineLevel="0" collapsed="false">
      <c r="A11" s="10" t="n">
        <f aca="false">Inputs!$B$22+9*Inputs!$B$24</f>
        <v>450</v>
      </c>
      <c r="B11" s="11" t="n">
        <f aca="false">IF(A11=0,0,MIN(Inputs!$B$13,Inputs!$B$12*SQRT(Inputs!$B$11*A11*1000/(Inputs!$B$16^2)))*Inputs!$B$16^2/Inputs!$B$11)</f>
        <v>2.62220545585321</v>
      </c>
      <c r="C11" s="11" t="n">
        <f aca="false">IF(A11=0,0,MIN(Inputs!$B$13,Inputs!$B$12*SQRT(Inputs!$B$11*A11*1000/(Inputs!$B$17^2)))*Inputs!$B$17^2/Inputs!$B$11)</f>
        <v>5.28868523634191</v>
      </c>
      <c r="D11" s="11" t="n">
        <f aca="false">IF(A11=0,0,MIN(Inputs!$B$13,Inputs!$B$12*SQRT(Inputs!$B$11*A11*1000/(Inputs!$B$18^2)))*Inputs!$B$18^2/Inputs!$B$11)</f>
        <v>7.05158031512255</v>
      </c>
      <c r="E11" s="11" t="n">
        <f aca="false">IF(A11=0,0,MIN(Inputs!$B$13,Inputs!$B$12*SQRT(Inputs!$B$11*A11*1000/(Inputs!$B$19^2)))*Inputs!$B$19^2/Inputs!$B$11)</f>
        <v>8.81447539390319</v>
      </c>
    </row>
    <row r="12" customFormat="false" ht="15" hidden="false" customHeight="true" outlineLevel="0" collapsed="false">
      <c r="A12" s="10" t="n">
        <f aca="false">Inputs!$B$22+10*Inputs!$B$24</f>
        <v>500</v>
      </c>
      <c r="B12" s="11" t="n">
        <f aca="false">IF(A12=0,0,MIN(Inputs!$B$13,Inputs!$B$12*SQRT(Inputs!$B$11*A12*1000/(Inputs!$B$16^2)))*Inputs!$B$16^2/Inputs!$B$11)</f>
        <v>2.62220545585321</v>
      </c>
      <c r="C12" s="11" t="n">
        <f aca="false">IF(A12=0,0,MIN(Inputs!$B$13,Inputs!$B$12*SQRT(Inputs!$B$11*A12*1000/(Inputs!$B$17^2)))*Inputs!$B$17^2/Inputs!$B$11)</f>
        <v>5.57476372484879</v>
      </c>
      <c r="D12" s="11" t="n">
        <f aca="false">IF(A12=0,0,MIN(Inputs!$B$13,Inputs!$B$12*SQRT(Inputs!$B$11*A12*1000/(Inputs!$B$18^2)))*Inputs!$B$18^2/Inputs!$B$11)</f>
        <v>7.43301829979838</v>
      </c>
      <c r="E12" s="11" t="n">
        <f aca="false">IF(A12=0,0,MIN(Inputs!$B$13,Inputs!$B$12*SQRT(Inputs!$B$11*A12*1000/(Inputs!$B$19^2)))*Inputs!$B$19^2/Inputs!$B$11)</f>
        <v>9.29127287474798</v>
      </c>
    </row>
    <row r="13" customFormat="false" ht="15" hidden="false" customHeight="true" outlineLevel="0" collapsed="false">
      <c r="A13" s="10" t="n">
        <f aca="false">Inputs!$B$22+11*Inputs!$B$24</f>
        <v>550</v>
      </c>
      <c r="B13" s="11" t="n">
        <f aca="false">IF(A13=0,0,MIN(Inputs!$B$13,Inputs!$B$12*SQRT(Inputs!$B$11*A13*1000/(Inputs!$B$16^2)))*Inputs!$B$16^2/Inputs!$B$11)</f>
        <v>2.62220545585321</v>
      </c>
      <c r="C13" s="11" t="n">
        <f aca="false">IF(A13=0,0,MIN(Inputs!$B$13,Inputs!$B$12*SQRT(Inputs!$B$11*A13*1000/(Inputs!$B$17^2)))*Inputs!$B$17^2/Inputs!$B$11)</f>
        <v>5.8468615210794</v>
      </c>
      <c r="D13" s="11" t="n">
        <f aca="false">IF(A13=0,0,MIN(Inputs!$B$13,Inputs!$B$12*SQRT(Inputs!$B$11*A13*1000/(Inputs!$B$18^2)))*Inputs!$B$18^2/Inputs!$B$11)</f>
        <v>7.7958153614392</v>
      </c>
      <c r="E13" s="11" t="n">
        <f aca="false">IF(A13=0,0,MIN(Inputs!$B$13,Inputs!$B$12*SQRT(Inputs!$B$11*A13*1000/(Inputs!$B$19^2)))*Inputs!$B$19^2/Inputs!$B$11)</f>
        <v>9.744769201799</v>
      </c>
    </row>
    <row r="14" customFormat="false" ht="15" hidden="false" customHeight="true" outlineLevel="0" collapsed="false">
      <c r="A14" s="10" t="n">
        <f aca="false">Inputs!$B$22+12*Inputs!$B$24</f>
        <v>600</v>
      </c>
      <c r="B14" s="11" t="n">
        <f aca="false">IF(A14=0,0,MIN(Inputs!$B$13,Inputs!$B$12*SQRT(Inputs!$B$11*A14*1000/(Inputs!$B$16^2)))*Inputs!$B$16^2/Inputs!$B$11)</f>
        <v>2.62220545585321</v>
      </c>
      <c r="C14" s="11" t="n">
        <f aca="false">IF(A14=0,0,MIN(Inputs!$B$13,Inputs!$B$12*SQRT(Inputs!$B$11*A14*1000/(Inputs!$B$17^2)))*Inputs!$B$17^2/Inputs!$B$11)</f>
        <v>5.89996227566972</v>
      </c>
      <c r="D14" s="11" t="n">
        <f aca="false">IF(A14=0,0,MIN(Inputs!$B$13,Inputs!$B$12*SQRT(Inputs!$B$11*A14*1000/(Inputs!$B$18^2)))*Inputs!$B$18^2/Inputs!$B$11)</f>
        <v>8.14246358629654</v>
      </c>
      <c r="E14" s="11" t="n">
        <f aca="false">IF(A14=0,0,MIN(Inputs!$B$13,Inputs!$B$12*SQRT(Inputs!$B$11*A14*1000/(Inputs!$B$19^2)))*Inputs!$B$19^2/Inputs!$B$11)</f>
        <v>10.1780794828707</v>
      </c>
    </row>
    <row r="15" customFormat="false" ht="15" hidden="false" customHeight="true" outlineLevel="0" collapsed="false">
      <c r="A15" s="10" t="n">
        <f aca="false">Inputs!$B$22+13*Inputs!$B$24</f>
        <v>650</v>
      </c>
      <c r="B15" s="11" t="n">
        <f aca="false">IF(A15=0,0,MIN(Inputs!$B$13,Inputs!$B$12*SQRT(Inputs!$B$11*A15*1000/(Inputs!$B$16^2)))*Inputs!$B$16^2/Inputs!$B$11)</f>
        <v>2.62220545585321</v>
      </c>
      <c r="C15" s="11" t="n">
        <f aca="false">IF(A15=0,0,MIN(Inputs!$B$13,Inputs!$B$12*SQRT(Inputs!$B$11*A15*1000/(Inputs!$B$17^2)))*Inputs!$B$17^2/Inputs!$B$11)</f>
        <v>5.89996227566972</v>
      </c>
      <c r="D15" s="11" t="n">
        <f aca="false">IF(A15=0,0,MIN(Inputs!$B$13,Inputs!$B$12*SQRT(Inputs!$B$11*A15*1000/(Inputs!$B$18^2)))*Inputs!$B$18^2/Inputs!$B$11)</f>
        <v>8.47494479974229</v>
      </c>
      <c r="E15" s="11" t="n">
        <f aca="false">IF(A15=0,0,MIN(Inputs!$B$13,Inputs!$B$12*SQRT(Inputs!$B$11*A15*1000/(Inputs!$B$19^2)))*Inputs!$B$19^2/Inputs!$B$11)</f>
        <v>10.5936809996779</v>
      </c>
    </row>
    <row r="16" customFormat="false" ht="15" hidden="false" customHeight="true" outlineLevel="0" collapsed="false">
      <c r="A16" s="10" t="n">
        <f aca="false">Inputs!$B$22+14*Inputs!$B$24</f>
        <v>700</v>
      </c>
      <c r="B16" s="11" t="n">
        <f aca="false">IF(A16=0,0,MIN(Inputs!$B$13,Inputs!$B$12*SQRT(Inputs!$B$11*A16*1000/(Inputs!$B$16^2)))*Inputs!$B$16^2/Inputs!$B$11)</f>
        <v>2.62220545585321</v>
      </c>
      <c r="C16" s="11" t="n">
        <f aca="false">IF(A16=0,0,MIN(Inputs!$B$13,Inputs!$B$12*SQRT(Inputs!$B$11*A16*1000/(Inputs!$B$17^2)))*Inputs!$B$17^2/Inputs!$B$11)</f>
        <v>5.89996227566972</v>
      </c>
      <c r="D16" s="11" t="n">
        <f aca="false">IF(A16=0,0,MIN(Inputs!$B$13,Inputs!$B$12*SQRT(Inputs!$B$11*A16*1000/(Inputs!$B$18^2)))*Inputs!$B$18^2/Inputs!$B$11)</f>
        <v>8.79486585816934</v>
      </c>
      <c r="E16" s="11" t="n">
        <f aca="false">IF(A16=0,0,MIN(Inputs!$B$13,Inputs!$B$12*SQRT(Inputs!$B$11*A16*1000/(Inputs!$B$19^2)))*Inputs!$B$19^2/Inputs!$B$11)</f>
        <v>10.9935823227117</v>
      </c>
    </row>
    <row r="17" customFormat="false" ht="15" hidden="false" customHeight="true" outlineLevel="0" collapsed="false">
      <c r="A17" s="10" t="n">
        <f aca="false">Inputs!$B$22+15*Inputs!$B$24</f>
        <v>750</v>
      </c>
      <c r="B17" s="11" t="n">
        <f aca="false">IF(A17=0,0,MIN(Inputs!$B$13,Inputs!$B$12*SQRT(Inputs!$B$11*A17*1000/(Inputs!$B$16^2)))*Inputs!$B$16^2/Inputs!$B$11)</f>
        <v>2.62220545585321</v>
      </c>
      <c r="C17" s="11" t="n">
        <f aca="false">IF(A17=0,0,MIN(Inputs!$B$13,Inputs!$B$12*SQRT(Inputs!$B$11*A17*1000/(Inputs!$B$17^2)))*Inputs!$B$17^2/Inputs!$B$11)</f>
        <v>5.89996227566972</v>
      </c>
      <c r="D17" s="11" t="n">
        <f aca="false">IF(A17=0,0,MIN(Inputs!$B$13,Inputs!$B$12*SQRT(Inputs!$B$11*A17*1000/(Inputs!$B$18^2)))*Inputs!$B$18^2/Inputs!$B$11)</f>
        <v>9.1035510416379</v>
      </c>
      <c r="E17" s="11" t="n">
        <f aca="false">IF(A17=0,0,MIN(Inputs!$B$13,Inputs!$B$12*SQRT(Inputs!$B$11*A17*1000/(Inputs!$B$19^2)))*Inputs!$B$19^2/Inputs!$B$11)</f>
        <v>11.3794388020474</v>
      </c>
    </row>
    <row r="18" customFormat="false" ht="15" hidden="false" customHeight="true" outlineLevel="0" collapsed="false">
      <c r="A18" s="10" t="n">
        <f aca="false">Inputs!$B$22+16*Inputs!$B$24</f>
        <v>800</v>
      </c>
      <c r="B18" s="11" t="n">
        <f aca="false">IF(A18=0,0,MIN(Inputs!$B$13,Inputs!$B$12*SQRT(Inputs!$B$11*A18*1000/(Inputs!$B$16^2)))*Inputs!$B$16^2/Inputs!$B$11)</f>
        <v>2.62220545585321</v>
      </c>
      <c r="C18" s="11" t="n">
        <f aca="false">IF(A18=0,0,MIN(Inputs!$B$13,Inputs!$B$12*SQRT(Inputs!$B$11*A18*1000/(Inputs!$B$17^2)))*Inputs!$B$17^2/Inputs!$B$11)</f>
        <v>5.89996227566972</v>
      </c>
      <c r="D18" s="11" t="n">
        <f aca="false">IF(A18=0,0,MIN(Inputs!$B$13,Inputs!$B$12*SQRT(Inputs!$B$11*A18*1000/(Inputs!$B$18^2)))*Inputs!$B$18^2/Inputs!$B$11)</f>
        <v>9.40210708683007</v>
      </c>
      <c r="E18" s="11" t="n">
        <f aca="false">IF(A18=0,0,MIN(Inputs!$B$13,Inputs!$B$12*SQRT(Inputs!$B$11*A18*1000/(Inputs!$B$19^2)))*Inputs!$B$19^2/Inputs!$B$11)</f>
        <v>11.7526338585376</v>
      </c>
    </row>
    <row r="19" customFormat="false" ht="15" hidden="false" customHeight="true" outlineLevel="0" collapsed="false">
      <c r="A19" s="10" t="n">
        <f aca="false">Inputs!$B$22+17*Inputs!$B$24</f>
        <v>850</v>
      </c>
      <c r="B19" s="11" t="n">
        <f aca="false">IF(A19=0,0,MIN(Inputs!$B$13,Inputs!$B$12*SQRT(Inputs!$B$11*A19*1000/(Inputs!$B$16^2)))*Inputs!$B$16^2/Inputs!$B$11)</f>
        <v>2.62220545585321</v>
      </c>
      <c r="C19" s="11" t="n">
        <f aca="false">IF(A19=0,0,MIN(Inputs!$B$13,Inputs!$B$12*SQRT(Inputs!$B$11*A19*1000/(Inputs!$B$17^2)))*Inputs!$B$17^2/Inputs!$B$11)</f>
        <v>5.89996227566972</v>
      </c>
      <c r="D19" s="11" t="n">
        <f aca="false">IF(A19=0,0,MIN(Inputs!$B$13,Inputs!$B$12*SQRT(Inputs!$B$11*A19*1000/(Inputs!$B$18^2)))*Inputs!$B$18^2/Inputs!$B$11)</f>
        <v>9.69147015559218</v>
      </c>
      <c r="E19" s="11" t="n">
        <f aca="false">IF(A19=0,0,MIN(Inputs!$B$13,Inputs!$B$12*SQRT(Inputs!$B$11*A19*1000/(Inputs!$B$19^2)))*Inputs!$B$19^2/Inputs!$B$11)</f>
        <v>12.1143376944902</v>
      </c>
    </row>
    <row r="20" customFormat="false" ht="15" hidden="false" customHeight="true" outlineLevel="0" collapsed="false">
      <c r="A20" s="10" t="n">
        <f aca="false">Inputs!$B$22+18*Inputs!$B$24</f>
        <v>900</v>
      </c>
      <c r="B20" s="11" t="n">
        <f aca="false">IF(A20=0,0,MIN(Inputs!$B$13,Inputs!$B$12*SQRT(Inputs!$B$11*A20*1000/(Inputs!$B$16^2)))*Inputs!$B$16^2/Inputs!$B$11)</f>
        <v>2.62220545585321</v>
      </c>
      <c r="C20" s="11" t="n">
        <f aca="false">IF(A20=0,0,MIN(Inputs!$B$13,Inputs!$B$12*SQRT(Inputs!$B$11*A20*1000/(Inputs!$B$17^2)))*Inputs!$B$17^2/Inputs!$B$11)</f>
        <v>5.89996227566972</v>
      </c>
      <c r="D20" s="11" t="n">
        <f aca="false">IF(A20=0,0,MIN(Inputs!$B$13,Inputs!$B$12*SQRT(Inputs!$B$11*A20*1000/(Inputs!$B$18^2)))*Inputs!$B$18^2/Inputs!$B$11)</f>
        <v>9.97244051780946</v>
      </c>
      <c r="E20" s="11" t="n">
        <f aca="false">IF(A20=0,0,MIN(Inputs!$B$13,Inputs!$B$12*SQRT(Inputs!$B$11*A20*1000/(Inputs!$B$19^2)))*Inputs!$B$19^2/Inputs!$B$11)</f>
        <v>12.4655506472618</v>
      </c>
    </row>
    <row r="21" customFormat="false" ht="15" hidden="false" customHeight="true" outlineLevel="0" collapsed="false">
      <c r="A21" s="10" t="n">
        <f aca="false">Inputs!$B$22+19*Inputs!$B$24</f>
        <v>950</v>
      </c>
      <c r="B21" s="11" t="n">
        <f aca="false">IF(A21=0,0,MIN(Inputs!$B$13,Inputs!$B$12*SQRT(Inputs!$B$11*A21*1000/(Inputs!$B$16^2)))*Inputs!$B$16^2/Inputs!$B$11)</f>
        <v>2.62220545585321</v>
      </c>
      <c r="C21" s="11" t="n">
        <f aca="false">IF(A21=0,0,MIN(Inputs!$B$13,Inputs!$B$12*SQRT(Inputs!$B$11*A21*1000/(Inputs!$B$17^2)))*Inputs!$B$17^2/Inputs!$B$11)</f>
        <v>5.89996227566972</v>
      </c>
      <c r="D21" s="11" t="n">
        <f aca="false">IF(A21=0,0,MIN(Inputs!$B$13,Inputs!$B$12*SQRT(Inputs!$B$11*A21*1000/(Inputs!$B$18^2)))*Inputs!$B$18^2/Inputs!$B$11)</f>
        <v>10.24570866196</v>
      </c>
      <c r="E21" s="11" t="n">
        <f aca="false">IF(A21=0,0,MIN(Inputs!$B$13,Inputs!$B$12*SQRT(Inputs!$B$11*A21*1000/(Inputs!$B$19^2)))*Inputs!$B$19^2/Inputs!$B$11)</f>
        <v>12.80713582745</v>
      </c>
    </row>
    <row r="22" customFormat="false" ht="15" hidden="false" customHeight="true" outlineLevel="0" collapsed="false">
      <c r="A22" s="10" t="n">
        <f aca="false">Inputs!$B$22+20*Inputs!$B$24</f>
        <v>1000</v>
      </c>
      <c r="B22" s="11" t="n">
        <f aca="false">IF(A22=0,0,MIN(Inputs!$B$13,Inputs!$B$12*SQRT(Inputs!$B$11*A22*1000/(Inputs!$B$16^2)))*Inputs!$B$16^2/Inputs!$B$11)</f>
        <v>2.62220545585321</v>
      </c>
      <c r="C22" s="11" t="n">
        <f aca="false">IF(A22=0,0,MIN(Inputs!$B$13,Inputs!$B$12*SQRT(Inputs!$B$11*A22*1000/(Inputs!$B$17^2)))*Inputs!$B$17^2/Inputs!$B$11)</f>
        <v>5.89996227566972</v>
      </c>
      <c r="D22" s="11" t="n">
        <f aca="false">IF(A22=0,0,MIN(Inputs!$B$13,Inputs!$B$12*SQRT(Inputs!$B$11*A22*1000/(Inputs!$B$18^2)))*Inputs!$B$18^2/Inputs!$B$11)</f>
        <v>10.4888218234128</v>
      </c>
      <c r="E22" s="11" t="n">
        <f aca="false">IF(A22=0,0,MIN(Inputs!$B$13,Inputs!$B$12*SQRT(Inputs!$B$11*A22*1000/(Inputs!$B$19^2)))*Inputs!$B$19^2/Inputs!$B$11)</f>
        <v>13.1398441111778</v>
      </c>
    </row>
    <row r="23" customFormat="false" ht="15" hidden="false" customHeight="true" outlineLevel="0" collapsed="false">
      <c r="A23" s="10" t="n">
        <f aca="false">Inputs!$B$22+21*Inputs!$B$24</f>
        <v>1050</v>
      </c>
      <c r="B23" s="11" t="n">
        <f aca="false">IF(A23=0,0,MIN(Inputs!$B$13,Inputs!$B$12*SQRT(Inputs!$B$11*A23*1000/(Inputs!$B$16^2)))*Inputs!$B$16^2/Inputs!$B$11)</f>
        <v>2.62220545585321</v>
      </c>
      <c r="C23" s="11" t="n">
        <f aca="false">IF(A23=0,0,MIN(Inputs!$B$13,Inputs!$B$12*SQRT(Inputs!$B$11*A23*1000/(Inputs!$B$17^2)))*Inputs!$B$17^2/Inputs!$B$11)</f>
        <v>5.89996227566972</v>
      </c>
      <c r="D23" s="11" t="n">
        <f aca="false">IF(A23=0,0,MIN(Inputs!$B$13,Inputs!$B$12*SQRT(Inputs!$B$11*A23*1000/(Inputs!$B$18^2)))*Inputs!$B$18^2/Inputs!$B$11)</f>
        <v>10.4888218234128</v>
      </c>
      <c r="E23" s="11" t="n">
        <f aca="false">IF(A23=0,0,MIN(Inputs!$B$13,Inputs!$B$12*SQRT(Inputs!$B$11*A23*1000/(Inputs!$B$19^2)))*Inputs!$B$19^2/Inputs!$B$11)</f>
        <v>13.4643335679624</v>
      </c>
    </row>
    <row r="24" customFormat="false" ht="15" hidden="false" customHeight="true" outlineLevel="0" collapsed="false">
      <c r="A24" s="10" t="n">
        <f aca="false">Inputs!$B$22+22*Inputs!$B$24</f>
        <v>1100</v>
      </c>
      <c r="B24" s="11" t="n">
        <f aca="false">IF(A24=0,0,MIN(Inputs!$B$13,Inputs!$B$12*SQRT(Inputs!$B$11*A24*1000/(Inputs!$B$16^2)))*Inputs!$B$16^2/Inputs!$B$11)</f>
        <v>2.62220545585321</v>
      </c>
      <c r="C24" s="11" t="n">
        <f aca="false">IF(A24=0,0,MIN(Inputs!$B$13,Inputs!$B$12*SQRT(Inputs!$B$11*A24*1000/(Inputs!$B$17^2)))*Inputs!$B$17^2/Inputs!$B$11)</f>
        <v>5.89996227566972</v>
      </c>
      <c r="D24" s="11" t="n">
        <f aca="false">IF(A24=0,0,MIN(Inputs!$B$13,Inputs!$B$12*SQRT(Inputs!$B$11*A24*1000/(Inputs!$B$18^2)))*Inputs!$B$18^2/Inputs!$B$11)</f>
        <v>10.4888218234128</v>
      </c>
      <c r="E24" s="11" t="n">
        <f aca="false">IF(A24=0,0,MIN(Inputs!$B$13,Inputs!$B$12*SQRT(Inputs!$B$11*A24*1000/(Inputs!$B$19^2)))*Inputs!$B$19^2/Inputs!$B$11)</f>
        <v>13.7811847673798</v>
      </c>
    </row>
    <row r="25" customFormat="false" ht="15" hidden="false" customHeight="true" outlineLevel="0" collapsed="false">
      <c r="A25" s="10" t="n">
        <f aca="false">Inputs!$B$22+23*Inputs!$B$24</f>
        <v>1150</v>
      </c>
      <c r="B25" s="11" t="n">
        <f aca="false">IF(A25=0,0,MIN(Inputs!$B$13,Inputs!$B$12*SQRT(Inputs!$B$11*A25*1000/(Inputs!$B$16^2)))*Inputs!$B$16^2/Inputs!$B$11)</f>
        <v>2.62220545585321</v>
      </c>
      <c r="C25" s="11" t="n">
        <f aca="false">IF(A25=0,0,MIN(Inputs!$B$13,Inputs!$B$12*SQRT(Inputs!$B$11*A25*1000/(Inputs!$B$17^2)))*Inputs!$B$17^2/Inputs!$B$11)</f>
        <v>5.89996227566972</v>
      </c>
      <c r="D25" s="11" t="n">
        <f aca="false">IF(A25=0,0,MIN(Inputs!$B$13,Inputs!$B$12*SQRT(Inputs!$B$11*A25*1000/(Inputs!$B$18^2)))*Inputs!$B$18^2/Inputs!$B$11)</f>
        <v>10.4888218234128</v>
      </c>
      <c r="E25" s="11" t="n">
        <f aca="false">IF(A25=0,0,MIN(Inputs!$B$13,Inputs!$B$12*SQRT(Inputs!$B$11*A25*1000/(Inputs!$B$19^2)))*Inputs!$B$19^2/Inputs!$B$11)</f>
        <v>14.0909129851817</v>
      </c>
    </row>
    <row r="26" customFormat="false" ht="15" hidden="false" customHeight="true" outlineLevel="0" collapsed="false">
      <c r="A26" s="10" t="n">
        <f aca="false">Inputs!$B$22+24*Inputs!$B$24</f>
        <v>1200</v>
      </c>
      <c r="B26" s="11" t="n">
        <f aca="false">IF(A26=0,0,MIN(Inputs!$B$13,Inputs!$B$12*SQRT(Inputs!$B$11*A26*1000/(Inputs!$B$16^2)))*Inputs!$B$16^2/Inputs!$B$11)</f>
        <v>2.62220545585321</v>
      </c>
      <c r="C26" s="11" t="n">
        <f aca="false">IF(A26=0,0,MIN(Inputs!$B$13,Inputs!$B$12*SQRT(Inputs!$B$11*A26*1000/(Inputs!$B$17^2)))*Inputs!$B$17^2/Inputs!$B$11)</f>
        <v>5.89996227566972</v>
      </c>
      <c r="D26" s="11" t="n">
        <f aca="false">IF(A26=0,0,MIN(Inputs!$B$13,Inputs!$B$12*SQRT(Inputs!$B$11*A26*1000/(Inputs!$B$18^2)))*Inputs!$B$18^2/Inputs!$B$11)</f>
        <v>10.4888218234128</v>
      </c>
      <c r="E26" s="11" t="n">
        <f aca="false">IF(A26=0,0,MIN(Inputs!$B$13,Inputs!$B$12*SQRT(Inputs!$B$11*A26*1000/(Inputs!$B$19^2)))*Inputs!$B$19^2/Inputs!$B$11)</f>
        <v>14.3939780435871</v>
      </c>
    </row>
    <row r="27" customFormat="false" ht="15" hidden="false" customHeight="true" outlineLevel="0" collapsed="false">
      <c r="A27" s="10" t="n">
        <f aca="false">Inputs!$B$22+25*Inputs!$B$24</f>
        <v>1250</v>
      </c>
      <c r="B27" s="11" t="n">
        <f aca="false">IF(A27=0,0,MIN(Inputs!$B$13,Inputs!$B$12*SQRT(Inputs!$B$11*A27*1000/(Inputs!$B$16^2)))*Inputs!$B$16^2/Inputs!$B$11)</f>
        <v>2.62220545585321</v>
      </c>
      <c r="C27" s="11" t="n">
        <f aca="false">IF(A27=0,0,MIN(Inputs!$B$13,Inputs!$B$12*SQRT(Inputs!$B$11*A27*1000/(Inputs!$B$17^2)))*Inputs!$B$17^2/Inputs!$B$11)</f>
        <v>5.89996227566972</v>
      </c>
      <c r="D27" s="11" t="n">
        <f aca="false">IF(A27=0,0,MIN(Inputs!$B$13,Inputs!$B$12*SQRT(Inputs!$B$11*A27*1000/(Inputs!$B$18^2)))*Inputs!$B$18^2/Inputs!$B$11)</f>
        <v>10.4888218234128</v>
      </c>
      <c r="E27" s="11" t="n">
        <f aca="false">IF(A27=0,0,MIN(Inputs!$B$13,Inputs!$B$12*SQRT(Inputs!$B$11*A27*1000/(Inputs!$B$19^2)))*Inputs!$B$19^2/Inputs!$B$11)</f>
        <v>14.690792323172</v>
      </c>
    </row>
    <row r="28" customFormat="false" ht="15" hidden="false" customHeight="true" outlineLevel="0" collapsed="false">
      <c r="A28" s="10" t="n">
        <f aca="false">Inputs!$B$22+26*Inputs!$B$24</f>
        <v>1300</v>
      </c>
      <c r="B28" s="11" t="n">
        <f aca="false">IF(A28=0,0,MIN(Inputs!$B$13,Inputs!$B$12*SQRT(Inputs!$B$11*A28*1000/(Inputs!$B$16^2)))*Inputs!$B$16^2/Inputs!$B$11)</f>
        <v>2.62220545585321</v>
      </c>
      <c r="C28" s="11" t="n">
        <f aca="false">IF(A28=0,0,MIN(Inputs!$B$13,Inputs!$B$12*SQRT(Inputs!$B$11*A28*1000/(Inputs!$B$17^2)))*Inputs!$B$17^2/Inputs!$B$11)</f>
        <v>5.89996227566972</v>
      </c>
      <c r="D28" s="11" t="n">
        <f aca="false">IF(A28=0,0,MIN(Inputs!$B$13,Inputs!$B$12*SQRT(Inputs!$B$11*A28*1000/(Inputs!$B$18^2)))*Inputs!$B$18^2/Inputs!$B$11)</f>
        <v>10.4888218234128</v>
      </c>
      <c r="E28" s="11" t="n">
        <f aca="false">IF(A28=0,0,MIN(Inputs!$B$13,Inputs!$B$12*SQRT(Inputs!$B$11*A28*1000/(Inputs!$B$19^2)))*Inputs!$B$19^2/Inputs!$B$11)</f>
        <v>14.9817273451986</v>
      </c>
    </row>
    <row r="29" customFormat="false" ht="15" hidden="false" customHeight="true" outlineLevel="0" collapsed="false">
      <c r="A29" s="10" t="n">
        <f aca="false">Inputs!$B$22+27*Inputs!$B$24</f>
        <v>1350</v>
      </c>
      <c r="B29" s="11" t="n">
        <f aca="false">IF(A29=0,0,MIN(Inputs!$B$13,Inputs!$B$12*SQRT(Inputs!$B$11*A29*1000/(Inputs!$B$16^2)))*Inputs!$B$16^2/Inputs!$B$11)</f>
        <v>2.62220545585321</v>
      </c>
      <c r="C29" s="11" t="n">
        <f aca="false">IF(A29=0,0,MIN(Inputs!$B$13,Inputs!$B$12*SQRT(Inputs!$B$11*A29*1000/(Inputs!$B$17^2)))*Inputs!$B$17^2/Inputs!$B$11)</f>
        <v>5.89996227566972</v>
      </c>
      <c r="D29" s="11" t="n">
        <f aca="false">IF(A29=0,0,MIN(Inputs!$B$13,Inputs!$B$12*SQRT(Inputs!$B$11*A29*1000/(Inputs!$B$18^2)))*Inputs!$B$18^2/Inputs!$B$11)</f>
        <v>10.4888218234128</v>
      </c>
      <c r="E29" s="11" t="n">
        <f aca="false">IF(A29=0,0,MIN(Inputs!$B$13,Inputs!$B$12*SQRT(Inputs!$B$11*A29*1000/(Inputs!$B$19^2)))*Inputs!$B$19^2/Inputs!$B$11)</f>
        <v>15.267119224306</v>
      </c>
    </row>
    <row r="30" customFormat="false" ht="15" hidden="false" customHeight="true" outlineLevel="0" collapsed="false">
      <c r="A30" s="10" t="n">
        <f aca="false">Inputs!$B$22+28*Inputs!$B$24</f>
        <v>1400</v>
      </c>
      <c r="B30" s="11" t="n">
        <f aca="false">IF(A30=0,0,MIN(Inputs!$B$13,Inputs!$B$12*SQRT(Inputs!$B$11*A30*1000/(Inputs!$B$16^2)))*Inputs!$B$16^2/Inputs!$B$11)</f>
        <v>2.62220545585321</v>
      </c>
      <c r="C30" s="11" t="n">
        <f aca="false">IF(A30=0,0,MIN(Inputs!$B$13,Inputs!$B$12*SQRT(Inputs!$B$11*A30*1000/(Inputs!$B$17^2)))*Inputs!$B$17^2/Inputs!$B$11)</f>
        <v>5.89996227566972</v>
      </c>
      <c r="D30" s="11" t="n">
        <f aca="false">IF(A30=0,0,MIN(Inputs!$B$13,Inputs!$B$12*SQRT(Inputs!$B$11*A30*1000/(Inputs!$B$18^2)))*Inputs!$B$18^2/Inputs!$B$11)</f>
        <v>10.4888218234128</v>
      </c>
      <c r="E30" s="11" t="n">
        <f aca="false">IF(A30=0,0,MIN(Inputs!$B$13,Inputs!$B$12*SQRT(Inputs!$B$11*A30*1000/(Inputs!$B$19^2)))*Inputs!$B$19^2/Inputs!$B$11)</f>
        <v>15.547273219844</v>
      </c>
    </row>
    <row r="31" customFormat="false" ht="15" hidden="false" customHeight="true" outlineLevel="0" collapsed="false">
      <c r="A31" s="10" t="n">
        <f aca="false">Inputs!$B$22+29*Inputs!$B$24</f>
        <v>1450</v>
      </c>
      <c r="B31" s="11" t="n">
        <f aca="false">IF(A31=0,0,MIN(Inputs!$B$13,Inputs!$B$12*SQRT(Inputs!$B$11*A31*1000/(Inputs!$B$16^2)))*Inputs!$B$16^2/Inputs!$B$11)</f>
        <v>2.62220545585321</v>
      </c>
      <c r="C31" s="11" t="n">
        <f aca="false">IF(A31=0,0,MIN(Inputs!$B$13,Inputs!$B$12*SQRT(Inputs!$B$11*A31*1000/(Inputs!$B$17^2)))*Inputs!$B$17^2/Inputs!$B$11)</f>
        <v>5.89996227566972</v>
      </c>
      <c r="D31" s="11" t="n">
        <f aca="false">IF(A31=0,0,MIN(Inputs!$B$13,Inputs!$B$12*SQRT(Inputs!$B$11*A31*1000/(Inputs!$B$18^2)))*Inputs!$B$18^2/Inputs!$B$11)</f>
        <v>10.4888218234128</v>
      </c>
      <c r="E31" s="11" t="n">
        <f aca="false">IF(A31=0,0,MIN(Inputs!$B$13,Inputs!$B$12*SQRT(Inputs!$B$11*A31*1000/(Inputs!$B$19^2)))*Inputs!$B$19^2/Inputs!$B$11)</f>
        <v>15.8224675615335</v>
      </c>
    </row>
    <row r="32" customFormat="false" ht="15" hidden="false" customHeight="true" outlineLevel="0" collapsed="false">
      <c r="A32" s="10" t="n">
        <f aca="false">Inputs!$B$22+30*Inputs!$B$24</f>
        <v>1500</v>
      </c>
      <c r="B32" s="11" t="n">
        <f aca="false">IF(A32=0,0,MIN(Inputs!$B$13,Inputs!$B$12*SQRT(Inputs!$B$11*A32*1000/(Inputs!$B$16^2)))*Inputs!$B$16^2/Inputs!$B$11)</f>
        <v>2.62220545585321</v>
      </c>
      <c r="C32" s="11" t="n">
        <f aca="false">IF(A32=0,0,MIN(Inputs!$B$13,Inputs!$B$12*SQRT(Inputs!$B$11*A32*1000/(Inputs!$B$17^2)))*Inputs!$B$17^2/Inputs!$B$11)</f>
        <v>5.89996227566972</v>
      </c>
      <c r="D32" s="11" t="n">
        <f aca="false">IF(A32=0,0,MIN(Inputs!$B$13,Inputs!$B$12*SQRT(Inputs!$B$11*A32*1000/(Inputs!$B$18^2)))*Inputs!$B$18^2/Inputs!$B$11)</f>
        <v>10.4888218234128</v>
      </c>
      <c r="E32" s="11" t="n">
        <f aca="false">IF(A32=0,0,MIN(Inputs!$B$13,Inputs!$B$12*SQRT(Inputs!$B$11*A32*1000/(Inputs!$B$19^2)))*Inputs!$B$19^2/Inputs!$B$11)</f>
        <v>16.09295668605</v>
      </c>
    </row>
    <row r="33" customFormat="false" ht="15" hidden="false" customHeight="true" outlineLevel="0" collapsed="false">
      <c r="A33" s="10" t="n">
        <f aca="false">Inputs!$B$22+31*Inputs!$B$24</f>
        <v>1550</v>
      </c>
      <c r="B33" s="11" t="n">
        <f aca="false">IF(A33=0,0,MIN(Inputs!$B$13,Inputs!$B$12*SQRT(Inputs!$B$11*A33*1000/(Inputs!$B$16^2)))*Inputs!$B$16^2/Inputs!$B$11)</f>
        <v>2.62220545585321</v>
      </c>
      <c r="C33" s="11" t="n">
        <f aca="false">IF(A33=0,0,MIN(Inputs!$B$13,Inputs!$B$12*SQRT(Inputs!$B$11*A33*1000/(Inputs!$B$17^2)))*Inputs!$B$17^2/Inputs!$B$11)</f>
        <v>5.89996227566972</v>
      </c>
      <c r="D33" s="11" t="n">
        <f aca="false">IF(A33=0,0,MIN(Inputs!$B$13,Inputs!$B$12*SQRT(Inputs!$B$11*A33*1000/(Inputs!$B$18^2)))*Inputs!$B$18^2/Inputs!$B$11)</f>
        <v>10.4888218234128</v>
      </c>
      <c r="E33" s="11" t="n">
        <f aca="false">IF(A33=0,0,MIN(Inputs!$B$13,Inputs!$B$12*SQRT(Inputs!$B$11*A33*1000/(Inputs!$B$19^2)))*Inputs!$B$19^2/Inputs!$B$11)</f>
        <v>16.3589739917388</v>
      </c>
    </row>
    <row r="34" customFormat="false" ht="15" hidden="false" customHeight="true" outlineLevel="0" collapsed="false">
      <c r="A34" s="10" t="n">
        <f aca="false">Inputs!$B$22+32*Inputs!$B$24</f>
        <v>1600</v>
      </c>
      <c r="B34" s="11" t="n">
        <f aca="false">IF(A34=0,0,MIN(Inputs!$B$13,Inputs!$B$12*SQRT(Inputs!$B$11*A34*1000/(Inputs!$B$16^2)))*Inputs!$B$16^2/Inputs!$B$11)</f>
        <v>2.62220545585321</v>
      </c>
      <c r="C34" s="11" t="n">
        <f aca="false">IF(A34=0,0,MIN(Inputs!$B$13,Inputs!$B$12*SQRT(Inputs!$B$11*A34*1000/(Inputs!$B$17^2)))*Inputs!$B$17^2/Inputs!$B$11)</f>
        <v>5.89996227566972</v>
      </c>
      <c r="D34" s="11" t="n">
        <f aca="false">IF(A34=0,0,MIN(Inputs!$B$13,Inputs!$B$12*SQRT(Inputs!$B$11*A34*1000/(Inputs!$B$18^2)))*Inputs!$B$18^2/Inputs!$B$11)</f>
        <v>10.4888218234128</v>
      </c>
      <c r="E34" s="11" t="n">
        <f aca="false">IF(A34=0,0,MIN(Inputs!$B$13,Inputs!$B$12*SQRT(Inputs!$B$11*A34*1000/(Inputs!$B$19^2)))*Inputs!$B$19^2/Inputs!$B$11)</f>
        <v>16.3887840990826</v>
      </c>
    </row>
    <row r="35" customFormat="false" ht="15" hidden="false" customHeight="true" outlineLevel="0" collapsed="false">
      <c r="A35" s="10" t="n">
        <f aca="false">Inputs!$B$22+33*Inputs!$B$24</f>
        <v>1650</v>
      </c>
      <c r="B35" s="11" t="n">
        <f aca="false">IF(A35=0,0,MIN(Inputs!$B$13,Inputs!$B$12*SQRT(Inputs!$B$11*A35*1000/(Inputs!$B$16^2)))*Inputs!$B$16^2/Inputs!$B$11)</f>
        <v>2.62220545585321</v>
      </c>
      <c r="C35" s="11" t="n">
        <f aca="false">IF(A35=0,0,MIN(Inputs!$B$13,Inputs!$B$12*SQRT(Inputs!$B$11*A35*1000/(Inputs!$B$17^2)))*Inputs!$B$17^2/Inputs!$B$11)</f>
        <v>5.89996227566972</v>
      </c>
      <c r="D35" s="11" t="n">
        <f aca="false">IF(A35=0,0,MIN(Inputs!$B$13,Inputs!$B$12*SQRT(Inputs!$B$11*A35*1000/(Inputs!$B$18^2)))*Inputs!$B$18^2/Inputs!$B$11)</f>
        <v>10.4888218234128</v>
      </c>
      <c r="E35" s="11" t="n">
        <f aca="false">IF(A35=0,0,MIN(Inputs!$B$13,Inputs!$B$12*SQRT(Inputs!$B$11*A35*1000/(Inputs!$B$19^2)))*Inputs!$B$19^2/Inputs!$B$11)</f>
        <v>16.3887840990826</v>
      </c>
    </row>
    <row r="36" customFormat="false" ht="15" hidden="false" customHeight="true" outlineLevel="0" collapsed="false">
      <c r="A36" s="10" t="n">
        <f aca="false">Inputs!$B$22+34*Inputs!$B$24</f>
        <v>1700</v>
      </c>
      <c r="B36" s="11" t="n">
        <f aca="false">IF(A36=0,0,MIN(Inputs!$B$13,Inputs!$B$12*SQRT(Inputs!$B$11*A36*1000/(Inputs!$B$16^2)))*Inputs!$B$16^2/Inputs!$B$11)</f>
        <v>2.62220545585321</v>
      </c>
      <c r="C36" s="11" t="n">
        <f aca="false">IF(A36=0,0,MIN(Inputs!$B$13,Inputs!$B$12*SQRT(Inputs!$B$11*A36*1000/(Inputs!$B$17^2)))*Inputs!$B$17^2/Inputs!$B$11)</f>
        <v>5.89996227566972</v>
      </c>
      <c r="D36" s="11" t="n">
        <f aca="false">IF(A36=0,0,MIN(Inputs!$B$13,Inputs!$B$12*SQRT(Inputs!$B$11*A36*1000/(Inputs!$B$18^2)))*Inputs!$B$18^2/Inputs!$B$11)</f>
        <v>10.4888218234128</v>
      </c>
      <c r="E36" s="11" t="n">
        <f aca="false">IF(A36=0,0,MIN(Inputs!$B$13,Inputs!$B$12*SQRT(Inputs!$B$11*A36*1000/(Inputs!$B$19^2)))*Inputs!$B$19^2/Inputs!$B$11)</f>
        <v>16.3887840990826</v>
      </c>
    </row>
    <row r="37" customFormat="false" ht="15" hidden="false" customHeight="true" outlineLevel="0" collapsed="false">
      <c r="A37" s="10" t="n">
        <f aca="false">Inputs!$B$22+35*Inputs!$B$24</f>
        <v>1750</v>
      </c>
      <c r="B37" s="11" t="n">
        <f aca="false">IF(A37=0,0,MIN(Inputs!$B$13,Inputs!$B$12*SQRT(Inputs!$B$11*A37*1000/(Inputs!$B$16^2)))*Inputs!$B$16^2/Inputs!$B$11)</f>
        <v>2.62220545585321</v>
      </c>
      <c r="C37" s="11" t="n">
        <f aca="false">IF(A37=0,0,MIN(Inputs!$B$13,Inputs!$B$12*SQRT(Inputs!$B$11*A37*1000/(Inputs!$B$17^2)))*Inputs!$B$17^2/Inputs!$B$11)</f>
        <v>5.89996227566972</v>
      </c>
      <c r="D37" s="11" t="n">
        <f aca="false">IF(A37=0,0,MIN(Inputs!$B$13,Inputs!$B$12*SQRT(Inputs!$B$11*A37*1000/(Inputs!$B$18^2)))*Inputs!$B$18^2/Inputs!$B$11)</f>
        <v>10.4888218234128</v>
      </c>
      <c r="E37" s="11" t="n">
        <f aca="false">IF(A37=0,0,MIN(Inputs!$B$13,Inputs!$B$12*SQRT(Inputs!$B$11*A37*1000/(Inputs!$B$19^2)))*Inputs!$B$19^2/Inputs!$B$11)</f>
        <v>16.3887840990826</v>
      </c>
    </row>
    <row r="38" customFormat="false" ht="15" hidden="false" customHeight="true" outlineLevel="0" collapsed="false">
      <c r="A38" s="10" t="n">
        <f aca="false">Inputs!$B$22+36*Inputs!$B$24</f>
        <v>1800</v>
      </c>
      <c r="B38" s="11" t="n">
        <f aca="false">IF(A38=0,0,MIN(Inputs!$B$13,Inputs!$B$12*SQRT(Inputs!$B$11*A38*1000/(Inputs!$B$16^2)))*Inputs!$B$16^2/Inputs!$B$11)</f>
        <v>2.62220545585321</v>
      </c>
      <c r="C38" s="11" t="n">
        <f aca="false">IF(A38=0,0,MIN(Inputs!$B$13,Inputs!$B$12*SQRT(Inputs!$B$11*A38*1000/(Inputs!$B$17^2)))*Inputs!$B$17^2/Inputs!$B$11)</f>
        <v>5.89996227566972</v>
      </c>
      <c r="D38" s="11" t="n">
        <f aca="false">IF(A38=0,0,MIN(Inputs!$B$13,Inputs!$B$12*SQRT(Inputs!$B$11*A38*1000/(Inputs!$B$18^2)))*Inputs!$B$18^2/Inputs!$B$11)</f>
        <v>10.4888218234128</v>
      </c>
      <c r="E38" s="11" t="n">
        <f aca="false">IF(A38=0,0,MIN(Inputs!$B$13,Inputs!$B$12*SQRT(Inputs!$B$11*A38*1000/(Inputs!$B$19^2)))*Inputs!$B$19^2/Inputs!$B$11)</f>
        <v>16.3887840990826</v>
      </c>
    </row>
    <row r="39" customFormat="false" ht="15" hidden="false" customHeight="true" outlineLevel="0" collapsed="false">
      <c r="A39" s="10" t="n">
        <f aca="false">Inputs!$B$22+37*Inputs!$B$24</f>
        <v>1850</v>
      </c>
      <c r="B39" s="11" t="n">
        <f aca="false">IF(A39=0,0,MIN(Inputs!$B$13,Inputs!$B$12*SQRT(Inputs!$B$11*A39*1000/(Inputs!$B$16^2)))*Inputs!$B$16^2/Inputs!$B$11)</f>
        <v>2.62220545585321</v>
      </c>
      <c r="C39" s="11" t="n">
        <f aca="false">IF(A39=0,0,MIN(Inputs!$B$13,Inputs!$B$12*SQRT(Inputs!$B$11*A39*1000/(Inputs!$B$17^2)))*Inputs!$B$17^2/Inputs!$B$11)</f>
        <v>5.89996227566972</v>
      </c>
      <c r="D39" s="11" t="n">
        <f aca="false">IF(A39=0,0,MIN(Inputs!$B$13,Inputs!$B$12*SQRT(Inputs!$B$11*A39*1000/(Inputs!$B$18^2)))*Inputs!$B$18^2/Inputs!$B$11)</f>
        <v>10.4888218234128</v>
      </c>
      <c r="E39" s="11" t="n">
        <f aca="false">IF(A39=0,0,MIN(Inputs!$B$13,Inputs!$B$12*SQRT(Inputs!$B$11*A39*1000/(Inputs!$B$19^2)))*Inputs!$B$19^2/Inputs!$B$11)</f>
        <v>16.3887840990826</v>
      </c>
    </row>
    <row r="40" customFormat="false" ht="15" hidden="false" customHeight="true" outlineLevel="0" collapsed="false">
      <c r="A40" s="10" t="n">
        <f aca="false">Inputs!$B$22+38*Inputs!$B$24</f>
        <v>1900</v>
      </c>
      <c r="B40" s="11" t="n">
        <f aca="false">IF(A40=0,0,MIN(Inputs!$B$13,Inputs!$B$12*SQRT(Inputs!$B$11*A40*1000/(Inputs!$B$16^2)))*Inputs!$B$16^2/Inputs!$B$11)</f>
        <v>2.62220545585321</v>
      </c>
      <c r="C40" s="11" t="n">
        <f aca="false">IF(A40=0,0,MIN(Inputs!$B$13,Inputs!$B$12*SQRT(Inputs!$B$11*A40*1000/(Inputs!$B$17^2)))*Inputs!$B$17^2/Inputs!$B$11)</f>
        <v>5.89996227566972</v>
      </c>
      <c r="D40" s="11" t="n">
        <f aca="false">IF(A40=0,0,MIN(Inputs!$B$13,Inputs!$B$12*SQRT(Inputs!$B$11*A40*1000/(Inputs!$B$18^2)))*Inputs!$B$18^2/Inputs!$B$11)</f>
        <v>10.4888218234128</v>
      </c>
      <c r="E40" s="11" t="n">
        <f aca="false">IF(A40=0,0,MIN(Inputs!$B$13,Inputs!$B$12*SQRT(Inputs!$B$11*A40*1000/(Inputs!$B$19^2)))*Inputs!$B$19^2/Inputs!$B$11)</f>
        <v>16.3887840990826</v>
      </c>
    </row>
    <row r="41" customFormat="false" ht="15" hidden="false" customHeight="true" outlineLevel="0" collapsed="false">
      <c r="A41" s="10" t="n">
        <f aca="false">Inputs!$B$22+39*Inputs!$B$24</f>
        <v>1950</v>
      </c>
      <c r="B41" s="11" t="n">
        <f aca="false">IF(A41=0,0,MIN(Inputs!$B$13,Inputs!$B$12*SQRT(Inputs!$B$11*A41*1000/(Inputs!$B$16^2)))*Inputs!$B$16^2/Inputs!$B$11)</f>
        <v>2.62220545585321</v>
      </c>
      <c r="C41" s="11" t="n">
        <f aca="false">IF(A41=0,0,MIN(Inputs!$B$13,Inputs!$B$12*SQRT(Inputs!$B$11*A41*1000/(Inputs!$B$17^2)))*Inputs!$B$17^2/Inputs!$B$11)</f>
        <v>5.89996227566972</v>
      </c>
      <c r="D41" s="11" t="n">
        <f aca="false">IF(A41=0,0,MIN(Inputs!$B$13,Inputs!$B$12*SQRT(Inputs!$B$11*A41*1000/(Inputs!$B$18^2)))*Inputs!$B$18^2/Inputs!$B$11)</f>
        <v>10.4888218234128</v>
      </c>
      <c r="E41" s="11" t="n">
        <f aca="false">IF(A41=0,0,MIN(Inputs!$B$13,Inputs!$B$12*SQRT(Inputs!$B$11*A41*1000/(Inputs!$B$19^2)))*Inputs!$B$19^2/Inputs!$B$11)</f>
        <v>16.3887840990826</v>
      </c>
    </row>
    <row r="42" customFormat="false" ht="15" hidden="false" customHeight="true" outlineLevel="0" collapsed="false">
      <c r="A42" s="10" t="n">
        <f aca="false">Inputs!$B$22+40*Inputs!$B$24</f>
        <v>2000</v>
      </c>
      <c r="B42" s="11" t="n">
        <f aca="false">IF(A42=0,0,MIN(Inputs!$B$13,Inputs!$B$12*SQRT(Inputs!$B$11*A42*1000/(Inputs!$B$16^2)))*Inputs!$B$16^2/Inputs!$B$11)</f>
        <v>2.62220545585321</v>
      </c>
      <c r="C42" s="11" t="n">
        <f aca="false">IF(A42=0,0,MIN(Inputs!$B$13,Inputs!$B$12*SQRT(Inputs!$B$11*A42*1000/(Inputs!$B$17^2)))*Inputs!$B$17^2/Inputs!$B$11)</f>
        <v>5.89996227566972</v>
      </c>
      <c r="D42" s="11" t="n">
        <f aca="false">IF(A42=0,0,MIN(Inputs!$B$13,Inputs!$B$12*SQRT(Inputs!$B$11*A42*1000/(Inputs!$B$18^2)))*Inputs!$B$18^2/Inputs!$B$11)</f>
        <v>10.4888218234128</v>
      </c>
      <c r="E42" s="11" t="n">
        <f aca="false">IF(A42=0,0,MIN(Inputs!$B$13,Inputs!$B$12*SQRT(Inputs!$B$11*A42*1000/(Inputs!$B$19^2)))*Inputs!$B$19^2/Inputs!$B$11)</f>
        <v>16.3887840990826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2" t="s">
        <v>34</v>
      </c>
    </row>
    <row r="2" customFormat="false" ht="15" hidden="false" customHeight="true" outlineLevel="0" collapsed="false">
      <c r="A2" s="3" t="s">
        <v>35</v>
      </c>
    </row>
    <row r="3" customFormat="false" ht="15" hidden="false" customHeight="true" outlineLevel="0" collapsed="false">
      <c r="A3" s="1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4058088d-b0a6-4b25-91ed-de53affe74db}" enabled="1" method="Privileged" siteId="{19537222-55d7-4581-84fb-c2da6e835c7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2026-07-23T10:13:26Z</dcterms:created>
  <dc:creator>openpyxl</dc:creator>
  <dc:description/>
  <dc:language>en-US</dc:language>
  <cp:lastModifiedBy/>
  <dcterms:modified xsi:type="dcterms:W3CDTF">2026-07-23T10:13:56Z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