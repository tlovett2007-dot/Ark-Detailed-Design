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tafensw-my.sharepoint.com/personal/tim_lovett_tafensw_edu_au/Documents/GitHub/NoahsArkDetail/seakeeping/calcs/"/>
    </mc:Choice>
  </mc:AlternateContent>
  <xr:revisionPtr revIDLastSave="15" documentId="11_B65452B8BCE559C97642B90DF82DB04BAC89C8B5" xr6:coauthVersionLast="47" xr6:coauthVersionMax="47" xr10:uidLastSave="{E3E9AA16-FF5A-4A19-A084-2889F520727A}"/>
  <bookViews>
    <workbookView xWindow="-120" yWindow="-120" windowWidth="29040" windowHeight="15840" tabRatio="500" activeTab="1" xr2:uid="{00000000-000D-0000-FFFF-FFFF00000000}"/>
  </bookViews>
  <sheets>
    <sheet name="Inputs" sheetId="1" r:id="rId1"/>
    <sheet name="Data" sheetId="2" r:id="rId2"/>
    <sheet name="Cha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01" i="2" l="1"/>
  <c r="D201" i="2"/>
  <c r="C201" i="2"/>
  <c r="B201" i="2"/>
  <c r="E200" i="2"/>
  <c r="D200" i="2"/>
  <c r="C200" i="2"/>
  <c r="B200" i="2"/>
  <c r="E199" i="2"/>
  <c r="D199" i="2"/>
  <c r="C199" i="2"/>
  <c r="B199" i="2"/>
  <c r="E198" i="2"/>
  <c r="D198" i="2"/>
  <c r="C198" i="2"/>
  <c r="B198" i="2"/>
  <c r="E197" i="2"/>
  <c r="D197" i="2"/>
  <c r="C197" i="2"/>
  <c r="B197" i="2"/>
  <c r="E196" i="2"/>
  <c r="D196" i="2"/>
  <c r="C196" i="2"/>
  <c r="B196" i="2"/>
  <c r="E195" i="2"/>
  <c r="D195" i="2"/>
  <c r="C195" i="2"/>
  <c r="B195" i="2"/>
  <c r="E194" i="2"/>
  <c r="D194" i="2"/>
  <c r="C194" i="2"/>
  <c r="B194" i="2"/>
  <c r="E193" i="2"/>
  <c r="D193" i="2"/>
  <c r="C193" i="2"/>
  <c r="B193" i="2"/>
  <c r="E192" i="2"/>
  <c r="D192" i="2"/>
  <c r="C192" i="2"/>
  <c r="B192" i="2"/>
  <c r="E191" i="2"/>
  <c r="D191" i="2"/>
  <c r="C191" i="2"/>
  <c r="B191" i="2"/>
  <c r="E190" i="2"/>
  <c r="D190" i="2"/>
  <c r="C190" i="2"/>
  <c r="B190" i="2"/>
  <c r="E189" i="2"/>
  <c r="D189" i="2"/>
  <c r="C189" i="2"/>
  <c r="B189" i="2"/>
  <c r="E188" i="2"/>
  <c r="D188" i="2"/>
  <c r="C188" i="2"/>
  <c r="B188" i="2"/>
  <c r="E187" i="2"/>
  <c r="D187" i="2"/>
  <c r="C187" i="2"/>
  <c r="B187" i="2"/>
  <c r="E186" i="2"/>
  <c r="D186" i="2"/>
  <c r="C186" i="2"/>
  <c r="B186" i="2"/>
  <c r="E185" i="2"/>
  <c r="D185" i="2"/>
  <c r="C185" i="2"/>
  <c r="B185" i="2"/>
  <c r="E184" i="2"/>
  <c r="D184" i="2"/>
  <c r="C184" i="2"/>
  <c r="B184" i="2"/>
  <c r="E183" i="2"/>
  <c r="D183" i="2"/>
  <c r="C183" i="2"/>
  <c r="B183" i="2"/>
  <c r="E182" i="2"/>
  <c r="D182" i="2"/>
  <c r="C182" i="2"/>
  <c r="B182" i="2"/>
  <c r="E181" i="2"/>
  <c r="D181" i="2"/>
  <c r="C181" i="2"/>
  <c r="B181" i="2"/>
  <c r="E180" i="2"/>
  <c r="D180" i="2"/>
  <c r="C180" i="2"/>
  <c r="B180" i="2"/>
  <c r="E179" i="2"/>
  <c r="D179" i="2"/>
  <c r="C179" i="2"/>
  <c r="B179" i="2"/>
  <c r="E178" i="2"/>
  <c r="D178" i="2"/>
  <c r="C178" i="2"/>
  <c r="B178" i="2"/>
  <c r="E177" i="2"/>
  <c r="D177" i="2"/>
  <c r="C177" i="2"/>
  <c r="B177" i="2"/>
  <c r="E176" i="2"/>
  <c r="D176" i="2"/>
  <c r="C176" i="2"/>
  <c r="B176" i="2"/>
  <c r="E175" i="2"/>
  <c r="D175" i="2"/>
  <c r="C175" i="2"/>
  <c r="B175" i="2"/>
  <c r="E174" i="2"/>
  <c r="D174" i="2"/>
  <c r="C174" i="2"/>
  <c r="B174" i="2"/>
  <c r="E173" i="2"/>
  <c r="D173" i="2"/>
  <c r="C173" i="2"/>
  <c r="B173" i="2"/>
  <c r="E172" i="2"/>
  <c r="D172" i="2"/>
  <c r="C172" i="2"/>
  <c r="B172" i="2"/>
  <c r="E171" i="2"/>
  <c r="D171" i="2"/>
  <c r="C171" i="2"/>
  <c r="B171" i="2"/>
  <c r="E170" i="2"/>
  <c r="D170" i="2"/>
  <c r="C170" i="2"/>
  <c r="B170" i="2"/>
  <c r="E169" i="2"/>
  <c r="D169" i="2"/>
  <c r="C169" i="2"/>
  <c r="B169" i="2"/>
  <c r="E168" i="2"/>
  <c r="D168" i="2"/>
  <c r="C168" i="2"/>
  <c r="B168" i="2"/>
  <c r="E167" i="2"/>
  <c r="D167" i="2"/>
  <c r="C167" i="2"/>
  <c r="B167" i="2"/>
  <c r="E166" i="2"/>
  <c r="D166" i="2"/>
  <c r="C166" i="2"/>
  <c r="B166" i="2"/>
  <c r="E165" i="2"/>
  <c r="D165" i="2"/>
  <c r="C165" i="2"/>
  <c r="B165" i="2"/>
  <c r="E164" i="2"/>
  <c r="D164" i="2"/>
  <c r="C164" i="2"/>
  <c r="B164" i="2"/>
  <c r="E163" i="2"/>
  <c r="D163" i="2"/>
  <c r="C163" i="2"/>
  <c r="B163" i="2"/>
  <c r="E162" i="2"/>
  <c r="D162" i="2"/>
  <c r="C162" i="2"/>
  <c r="B162" i="2"/>
  <c r="E161" i="2"/>
  <c r="D161" i="2"/>
  <c r="C161" i="2"/>
  <c r="B161" i="2"/>
  <c r="E160" i="2"/>
  <c r="D160" i="2"/>
  <c r="C160" i="2"/>
  <c r="B160" i="2"/>
  <c r="E159" i="2"/>
  <c r="D159" i="2"/>
  <c r="C159" i="2"/>
  <c r="B159" i="2"/>
  <c r="E158" i="2"/>
  <c r="D158" i="2"/>
  <c r="C158" i="2"/>
  <c r="B158" i="2"/>
  <c r="E157" i="2"/>
  <c r="D157" i="2"/>
  <c r="C157" i="2"/>
  <c r="B157" i="2"/>
  <c r="E156" i="2"/>
  <c r="D156" i="2"/>
  <c r="C156" i="2"/>
  <c r="B156" i="2"/>
  <c r="E155" i="2"/>
  <c r="D155" i="2"/>
  <c r="C155" i="2"/>
  <c r="B155" i="2"/>
  <c r="E154" i="2"/>
  <c r="D154" i="2"/>
  <c r="C154" i="2"/>
  <c r="B154" i="2"/>
  <c r="E153" i="2"/>
  <c r="D153" i="2"/>
  <c r="C153" i="2"/>
  <c r="B153" i="2"/>
  <c r="E152" i="2"/>
  <c r="D152" i="2"/>
  <c r="C152" i="2"/>
  <c r="B152" i="2"/>
  <c r="E151" i="2"/>
  <c r="D151" i="2"/>
  <c r="C151" i="2"/>
  <c r="B151" i="2"/>
  <c r="E150" i="2"/>
  <c r="D150" i="2"/>
  <c r="C150" i="2"/>
  <c r="B150" i="2"/>
  <c r="E149" i="2"/>
  <c r="D149" i="2"/>
  <c r="C149" i="2"/>
  <c r="B149" i="2"/>
  <c r="E148" i="2"/>
  <c r="D148" i="2"/>
  <c r="C148" i="2"/>
  <c r="B148" i="2"/>
  <c r="E147" i="2"/>
  <c r="D147" i="2"/>
  <c r="C147" i="2"/>
  <c r="B147" i="2"/>
  <c r="E146" i="2"/>
  <c r="D146" i="2"/>
  <c r="C146" i="2"/>
  <c r="B146" i="2"/>
  <c r="E145" i="2"/>
  <c r="D145" i="2"/>
  <c r="C145" i="2"/>
  <c r="B145" i="2"/>
  <c r="E144" i="2"/>
  <c r="D144" i="2"/>
  <c r="C144" i="2"/>
  <c r="B144" i="2"/>
  <c r="E143" i="2"/>
  <c r="D143" i="2"/>
  <c r="C143" i="2"/>
  <c r="B143" i="2"/>
  <c r="E142" i="2"/>
  <c r="D142" i="2"/>
  <c r="C142" i="2"/>
  <c r="B142" i="2"/>
  <c r="E141" i="2"/>
  <c r="D141" i="2"/>
  <c r="C141" i="2"/>
  <c r="B141" i="2"/>
  <c r="E140" i="2"/>
  <c r="D140" i="2"/>
  <c r="C140" i="2"/>
  <c r="B140" i="2"/>
  <c r="E139" i="2"/>
  <c r="D139" i="2"/>
  <c r="C139" i="2"/>
  <c r="B139" i="2"/>
  <c r="E138" i="2"/>
  <c r="D138" i="2"/>
  <c r="C138" i="2"/>
  <c r="B138" i="2"/>
  <c r="E137" i="2"/>
  <c r="D137" i="2"/>
  <c r="C137" i="2"/>
  <c r="B137" i="2"/>
  <c r="E136" i="2"/>
  <c r="D136" i="2"/>
  <c r="C136" i="2"/>
  <c r="B136" i="2"/>
  <c r="E135" i="2"/>
  <c r="D135" i="2"/>
  <c r="C135" i="2"/>
  <c r="B135" i="2"/>
  <c r="E134" i="2"/>
  <c r="D134" i="2"/>
  <c r="C134" i="2"/>
  <c r="B134" i="2"/>
  <c r="E133" i="2"/>
  <c r="D133" i="2"/>
  <c r="C133" i="2"/>
  <c r="B133" i="2"/>
  <c r="E132" i="2"/>
  <c r="D132" i="2"/>
  <c r="C132" i="2"/>
  <c r="B132" i="2"/>
  <c r="E131" i="2"/>
  <c r="D131" i="2"/>
  <c r="C131" i="2"/>
  <c r="B131" i="2"/>
  <c r="E130" i="2"/>
  <c r="D130" i="2"/>
  <c r="C130" i="2"/>
  <c r="B130" i="2"/>
  <c r="E129" i="2"/>
  <c r="D129" i="2"/>
  <c r="C129" i="2"/>
  <c r="B129" i="2"/>
  <c r="E128" i="2"/>
  <c r="D128" i="2"/>
  <c r="C128" i="2"/>
  <c r="B128" i="2"/>
  <c r="E127" i="2"/>
  <c r="D127" i="2"/>
  <c r="C127" i="2"/>
  <c r="B127" i="2"/>
  <c r="E126" i="2"/>
  <c r="D126" i="2"/>
  <c r="C126" i="2"/>
  <c r="B126" i="2"/>
  <c r="E125" i="2"/>
  <c r="D125" i="2"/>
  <c r="C125" i="2"/>
  <c r="B125" i="2"/>
  <c r="E124" i="2"/>
  <c r="D124" i="2"/>
  <c r="C124" i="2"/>
  <c r="B124" i="2"/>
  <c r="E123" i="2"/>
  <c r="D123" i="2"/>
  <c r="C123" i="2"/>
  <c r="B123" i="2"/>
  <c r="E122" i="2"/>
  <c r="D122" i="2"/>
  <c r="C122" i="2"/>
  <c r="B122" i="2"/>
  <c r="E121" i="2"/>
  <c r="D121" i="2"/>
  <c r="C121" i="2"/>
  <c r="B121" i="2"/>
  <c r="E120" i="2"/>
  <c r="D120" i="2"/>
  <c r="C120" i="2"/>
  <c r="B120" i="2"/>
  <c r="E119" i="2"/>
  <c r="D119" i="2"/>
  <c r="C119" i="2"/>
  <c r="B119" i="2"/>
  <c r="E118" i="2"/>
  <c r="D118" i="2"/>
  <c r="C118" i="2"/>
  <c r="B118" i="2"/>
  <c r="E117" i="2"/>
  <c r="D117" i="2"/>
  <c r="C117" i="2"/>
  <c r="B117" i="2"/>
  <c r="E116" i="2"/>
  <c r="D116" i="2"/>
  <c r="C116" i="2"/>
  <c r="B116" i="2"/>
  <c r="E115" i="2"/>
  <c r="D115" i="2"/>
  <c r="C115" i="2"/>
  <c r="B115" i="2"/>
  <c r="E114" i="2"/>
  <c r="D114" i="2"/>
  <c r="C114" i="2"/>
  <c r="B114" i="2"/>
  <c r="E113" i="2"/>
  <c r="D113" i="2"/>
  <c r="C113" i="2"/>
  <c r="B113" i="2"/>
  <c r="E112" i="2"/>
  <c r="D112" i="2"/>
  <c r="C112" i="2"/>
  <c r="B112" i="2"/>
  <c r="E111" i="2"/>
  <c r="D111" i="2"/>
  <c r="C111" i="2"/>
  <c r="B111" i="2"/>
  <c r="E110" i="2"/>
  <c r="D110" i="2"/>
  <c r="C110" i="2"/>
  <c r="B110" i="2"/>
  <c r="E109" i="2"/>
  <c r="D109" i="2"/>
  <c r="C109" i="2"/>
  <c r="B109" i="2"/>
  <c r="E108" i="2"/>
  <c r="D108" i="2"/>
  <c r="C108" i="2"/>
  <c r="B108" i="2"/>
  <c r="E107" i="2"/>
  <c r="D107" i="2"/>
  <c r="C107" i="2"/>
  <c r="B107" i="2"/>
  <c r="E106" i="2"/>
  <c r="D106" i="2"/>
  <c r="C106" i="2"/>
  <c r="B106" i="2"/>
  <c r="E105" i="2"/>
  <c r="D105" i="2"/>
  <c r="C105" i="2"/>
  <c r="B105" i="2"/>
  <c r="E104" i="2"/>
  <c r="D104" i="2"/>
  <c r="C104" i="2"/>
  <c r="B104" i="2"/>
  <c r="E103" i="2"/>
  <c r="D103" i="2"/>
  <c r="C103" i="2"/>
  <c r="B103" i="2"/>
  <c r="E102" i="2"/>
  <c r="D102" i="2"/>
  <c r="C102" i="2"/>
  <c r="B102" i="2"/>
  <c r="E101" i="2"/>
  <c r="D101" i="2"/>
  <c r="C101" i="2"/>
  <c r="B101" i="2"/>
  <c r="E100" i="2"/>
  <c r="D100" i="2"/>
  <c r="C100" i="2"/>
  <c r="B100" i="2"/>
  <c r="E99" i="2"/>
  <c r="D99" i="2"/>
  <c r="C99" i="2"/>
  <c r="B99" i="2"/>
  <c r="E98" i="2"/>
  <c r="D98" i="2"/>
  <c r="C98" i="2"/>
  <c r="B98" i="2"/>
  <c r="E97" i="2"/>
  <c r="D97" i="2"/>
  <c r="C97" i="2"/>
  <c r="B97" i="2"/>
  <c r="E96" i="2"/>
  <c r="D96" i="2"/>
  <c r="C96" i="2"/>
  <c r="B96" i="2"/>
  <c r="E95" i="2"/>
  <c r="D95" i="2"/>
  <c r="C95" i="2"/>
  <c r="B95" i="2"/>
  <c r="E94" i="2"/>
  <c r="D94" i="2"/>
  <c r="C94" i="2"/>
  <c r="B94" i="2"/>
  <c r="E93" i="2"/>
  <c r="D93" i="2"/>
  <c r="C93" i="2"/>
  <c r="B93" i="2"/>
  <c r="E92" i="2"/>
  <c r="D92" i="2"/>
  <c r="C92" i="2"/>
  <c r="B92" i="2"/>
  <c r="E91" i="2"/>
  <c r="D91" i="2"/>
  <c r="C91" i="2"/>
  <c r="B91" i="2"/>
  <c r="E90" i="2"/>
  <c r="D90" i="2"/>
  <c r="C90" i="2"/>
  <c r="B90" i="2"/>
  <c r="E89" i="2"/>
  <c r="D89" i="2"/>
  <c r="C89" i="2"/>
  <c r="B89" i="2"/>
  <c r="E88" i="2"/>
  <c r="D88" i="2"/>
  <c r="C88" i="2"/>
  <c r="B88" i="2"/>
  <c r="E87" i="2"/>
  <c r="D87" i="2"/>
  <c r="C87" i="2"/>
  <c r="B87" i="2"/>
  <c r="E86" i="2"/>
  <c r="D86" i="2"/>
  <c r="C86" i="2"/>
  <c r="B86" i="2"/>
  <c r="E85" i="2"/>
  <c r="D85" i="2"/>
  <c r="C85" i="2"/>
  <c r="B85" i="2"/>
  <c r="E84" i="2"/>
  <c r="D84" i="2"/>
  <c r="C84" i="2"/>
  <c r="B84" i="2"/>
  <c r="E83" i="2"/>
  <c r="D83" i="2"/>
  <c r="C83" i="2"/>
  <c r="B83" i="2"/>
  <c r="E82" i="2"/>
  <c r="D82" i="2"/>
  <c r="C82" i="2"/>
  <c r="B82" i="2"/>
  <c r="E81" i="2"/>
  <c r="D81" i="2"/>
  <c r="C81" i="2"/>
  <c r="B81" i="2"/>
  <c r="E80" i="2"/>
  <c r="D80" i="2"/>
  <c r="C80" i="2"/>
  <c r="B80" i="2"/>
  <c r="E79" i="2"/>
  <c r="D79" i="2"/>
  <c r="C79" i="2"/>
  <c r="B79" i="2"/>
  <c r="E78" i="2"/>
  <c r="D78" i="2"/>
  <c r="C78" i="2"/>
  <c r="B78" i="2"/>
  <c r="E77" i="2"/>
  <c r="D77" i="2"/>
  <c r="C77" i="2"/>
  <c r="B77" i="2"/>
  <c r="E76" i="2"/>
  <c r="D76" i="2"/>
  <c r="C76" i="2"/>
  <c r="B76" i="2"/>
  <c r="E75" i="2"/>
  <c r="D75" i="2"/>
  <c r="C75" i="2"/>
  <c r="B75" i="2"/>
  <c r="E74" i="2"/>
  <c r="D74" i="2"/>
  <c r="C74" i="2"/>
  <c r="B74" i="2"/>
  <c r="E73" i="2"/>
  <c r="D73" i="2"/>
  <c r="C73" i="2"/>
  <c r="B73" i="2"/>
  <c r="E72" i="2"/>
  <c r="D72" i="2"/>
  <c r="C72" i="2"/>
  <c r="B72" i="2"/>
  <c r="E71" i="2"/>
  <c r="D71" i="2"/>
  <c r="C71" i="2"/>
  <c r="B71" i="2"/>
  <c r="E70" i="2"/>
  <c r="D70" i="2"/>
  <c r="C70" i="2"/>
  <c r="B70" i="2"/>
  <c r="E69" i="2"/>
  <c r="D69" i="2"/>
  <c r="C69" i="2"/>
  <c r="B69" i="2"/>
  <c r="E68" i="2"/>
  <c r="D68" i="2"/>
  <c r="C68" i="2"/>
  <c r="B68" i="2"/>
  <c r="E67" i="2"/>
  <c r="D67" i="2"/>
  <c r="C67" i="2"/>
  <c r="B67" i="2"/>
  <c r="E66" i="2"/>
  <c r="D66" i="2"/>
  <c r="C66" i="2"/>
  <c r="B66" i="2"/>
  <c r="E65" i="2"/>
  <c r="D65" i="2"/>
  <c r="C65" i="2"/>
  <c r="B65" i="2"/>
  <c r="E64" i="2"/>
  <c r="D64" i="2"/>
  <c r="C64" i="2"/>
  <c r="B64" i="2"/>
  <c r="E63" i="2"/>
  <c r="D63" i="2"/>
  <c r="C63" i="2"/>
  <c r="B63" i="2"/>
  <c r="E62" i="2"/>
  <c r="D62" i="2"/>
  <c r="C62" i="2"/>
  <c r="B62" i="2"/>
  <c r="E61" i="2"/>
  <c r="D61" i="2"/>
  <c r="C61" i="2"/>
  <c r="B61" i="2"/>
  <c r="E60" i="2"/>
  <c r="D60" i="2"/>
  <c r="C60" i="2"/>
  <c r="B60" i="2"/>
  <c r="E59" i="2"/>
  <c r="D59" i="2"/>
  <c r="C59" i="2"/>
  <c r="B59" i="2"/>
  <c r="E58" i="2"/>
  <c r="D58" i="2"/>
  <c r="C58" i="2"/>
  <c r="B58" i="2"/>
  <c r="E57" i="2"/>
  <c r="D57" i="2"/>
  <c r="C57" i="2"/>
  <c r="B57" i="2"/>
  <c r="E56" i="2"/>
  <c r="D56" i="2"/>
  <c r="C56" i="2"/>
  <c r="B56" i="2"/>
  <c r="E55" i="2"/>
  <c r="D55" i="2"/>
  <c r="C55" i="2"/>
  <c r="B55" i="2"/>
  <c r="E54" i="2"/>
  <c r="D54" i="2"/>
  <c r="C54" i="2"/>
  <c r="B54" i="2"/>
  <c r="E53" i="2"/>
  <c r="D53" i="2"/>
  <c r="C53" i="2"/>
  <c r="B53" i="2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D3" i="2"/>
  <c r="C3" i="2"/>
  <c r="B3" i="2"/>
  <c r="E2" i="2"/>
  <c r="D2" i="2"/>
  <c r="C2" i="2"/>
  <c r="B2" i="2"/>
</calcChain>
</file>

<file path=xl/sharedStrings.xml><?xml version="1.0" encoding="utf-8"?>
<sst xmlns="http://schemas.openxmlformats.org/spreadsheetml/2006/main" count="39" uniqueCount="37">
  <si>
    <t>Fetch vs Wave Steepness (degrees)</t>
  </si>
  <si>
    <t>SPM Hs + JONSWAP Tp — Deep water — Noah's Ark Naval Architecture Research — T. Lovett</t>
  </si>
  <si>
    <t>Formulas</t>
  </si>
  <si>
    <t>Hs:    gHs/U²  =  0.283 · tanh( 0.0125 · gF/U² )   [SPM]</t>
  </si>
  <si>
    <t>Tp:    gTp/U   =  0.286 · (gF/U²)^(1/3)             [JONSWAP]</t>
  </si>
  <si>
    <t>L      =  g·Tp²  / 2π                                [deep water dispersion]</t>
  </si>
  <si>
    <t>Slope° =  DEGREES( ATAN( Hs/L ) )</t>
  </si>
  <si>
    <t>Breaking limit H/L = 1/7 → slope = 8.13°. Above this waves break.</t>
  </si>
  <si>
    <t>Constants  (blue = input)</t>
  </si>
  <si>
    <t>g  (m/s²)</t>
  </si>
  <si>
    <t>Gravitational acceleration</t>
  </si>
  <si>
    <t>Hs coeff a</t>
  </si>
  <si>
    <t>SPM Hs coefficient</t>
  </si>
  <si>
    <t>Hs coeff b</t>
  </si>
  <si>
    <t>SPM Hs fetch coefficient</t>
  </si>
  <si>
    <t>Tp coeff c</t>
  </si>
  <si>
    <t>JONSWAP Tp coefficient</t>
  </si>
  <si>
    <t>Tp exponent n</t>
  </si>
  <si>
    <t>JONSWAP Tp fetch exponent</t>
  </si>
  <si>
    <t>Breaking limit (deg)</t>
  </si>
  <si>
    <t>DEGREES(ATAN(1/7))</t>
  </si>
  <si>
    <t>Wind Speeds  (blue = input, m/s)</t>
  </si>
  <si>
    <t>Wind speed 20 kn</t>
  </si>
  <si>
    <t>20 knots x 0.51444 m/s</t>
  </si>
  <si>
    <t>Wind speed 30 kn</t>
  </si>
  <si>
    <t>30 knots x 0.51444 m/s</t>
  </si>
  <si>
    <t>Wind speed 40 kn</t>
  </si>
  <si>
    <t>40 knots x 0.51444 m/s</t>
  </si>
  <si>
    <t>Wind speed 50 kn</t>
  </si>
  <si>
    <t>50 knots x 0.51444 m/s</t>
  </si>
  <si>
    <t>Fetch: 1km steps 1-200km (200 points — zero excluded)</t>
  </si>
  <si>
    <t>Fetch (km)</t>
  </si>
  <si>
    <t>Slope° 20 kn</t>
  </si>
  <si>
    <t>Slope° 30 kn</t>
  </si>
  <si>
    <t>Slope° 40 kn</t>
  </si>
  <si>
    <t>Slope° 50 kn</t>
  </si>
  <si>
    <t>Breaking limit ~8.1°. Steepness peaks at short fetch then declines as period grows.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</si>
</sst>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1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i/>
      <sz val="10"/>
      <color rgb="FF595959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9"/>
      <color rgb="FFC00000"/>
      <name val="Arial"/>
      <family val="2"/>
    </font>
    <font>
      <sz val="10"/>
      <color rgb="FF0000FF"/>
      <name val="Arial"/>
      <family val="2"/>
    </font>
    <font>
      <sz val="9"/>
      <color rgb="FF595959"/>
      <name val="Arial"/>
      <family val="2"/>
    </font>
    <font>
      <b/>
      <sz val="11"/>
      <color rgb="FFFFFFFF"/>
      <name val="Arial"/>
      <family val="2"/>
    </font>
    <font>
      <sz val="10"/>
      <color rgb="FF008000"/>
      <name val="Arial"/>
      <family val="2"/>
    </font>
    <font>
      <sz val="10"/>
      <color rgb="FFC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64" fontId="6" fillId="0" borderId="0" xfId="0" applyNumberFormat="1" applyFont="1"/>
    <xf numFmtId="0" fontId="7" fillId="0" borderId="0" xfId="0" applyFont="1"/>
    <xf numFmtId="0" fontId="8" fillId="2" borderId="0" xfId="0" applyFont="1" applyFill="1" applyAlignment="1">
      <alignment horizontal="center" vertical="center"/>
    </xf>
    <xf numFmtId="2" fontId="9" fillId="0" borderId="0" xfId="0" applyNumberFormat="1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7D5FA0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Slope° 20 kn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Data!$A$2:$A$201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Data!$B$2:$B$201</c:f>
              <c:numCache>
                <c:formatCode>0.00</c:formatCode>
                <c:ptCount val="200"/>
                <c:pt idx="0">
                  <c:v>41.056315043289445</c:v>
                </c:pt>
                <c:pt idx="1">
                  <c:v>33.259259537826686</c:v>
                </c:pt>
                <c:pt idx="2">
                  <c:v>26.992638058013661</c:v>
                </c:pt>
                <c:pt idx="3">
                  <c:v>22.840704872942673</c:v>
                </c:pt>
                <c:pt idx="4">
                  <c:v>19.952864047172252</c:v>
                </c:pt>
                <c:pt idx="5">
                  <c:v>17.822287720854124</c:v>
                </c:pt>
                <c:pt idx="6">
                  <c:v>16.177256838109766</c:v>
                </c:pt>
                <c:pt idx="7">
                  <c:v>14.862994458530455</c:v>
                </c:pt>
                <c:pt idx="8">
                  <c:v>13.78501756684269</c:v>
                </c:pt>
                <c:pt idx="9">
                  <c:v>12.882242147505901</c:v>
                </c:pt>
                <c:pt idx="10">
                  <c:v>12.11331765246023</c:v>
                </c:pt>
                <c:pt idx="11">
                  <c:v>11.449187691289149</c:v>
                </c:pt>
                <c:pt idx="12">
                  <c:v>10.868795765885501</c:v>
                </c:pt>
                <c:pt idx="13">
                  <c:v>10.356482772466547</c:v>
                </c:pt>
                <c:pt idx="14">
                  <c:v>9.9003441217558574</c:v>
                </c:pt>
                <c:pt idx="15">
                  <c:v>9.4911561053501927</c:v>
                </c:pt>
                <c:pt idx="16">
                  <c:v>9.1216530815350865</c:v>
                </c:pt>
                <c:pt idx="17">
                  <c:v>8.7860281066410764</c:v>
                </c:pt>
                <c:pt idx="18">
                  <c:v>8.4795800294246924</c:v>
                </c:pt>
                <c:pt idx="19">
                  <c:v>8.1984590434167952</c:v>
                </c:pt>
                <c:pt idx="20">
                  <c:v>7.9394799248490759</c:v>
                </c:pt>
                <c:pt idx="21">
                  <c:v>7.6999827407977328</c:v>
                </c:pt>
                <c:pt idx="22">
                  <c:v>7.4777274529392059</c:v>
                </c:pt>
                <c:pt idx="23">
                  <c:v>7.2708131198290289</c:v>
                </c:pt>
                <c:pt idx="24">
                  <c:v>7.0776152154465048</c:v>
                </c:pt>
                <c:pt idx="25">
                  <c:v>6.8967364703144076</c:v>
                </c:pt>
                <c:pt idx="26">
                  <c:v>6.7269679311753583</c:v>
                </c:pt>
                <c:pt idx="27">
                  <c:v>6.567257830243749</c:v>
                </c:pt>
                <c:pt idx="28">
                  <c:v>6.4166864854908487</c:v>
                </c:pt>
                <c:pt idx="29">
                  <c:v>6.2744459035941764</c:v>
                </c:pt>
                <c:pt idx="30">
                  <c:v>6.1398230827234048</c:v>
                </c:pt>
                <c:pt idx="31">
                  <c:v>6.0121862505220784</c:v>
                </c:pt>
                <c:pt idx="32">
                  <c:v>5.8909734488283885</c:v>
                </c:pt>
                <c:pt idx="33">
                  <c:v>5.7756830083288095</c:v>
                </c:pt>
                <c:pt idx="34">
                  <c:v>5.6658655556517505</c:v>
                </c:pt>
                <c:pt idx="35">
                  <c:v>5.5611172709955525</c:v>
                </c:pt>
                <c:pt idx="36">
                  <c:v>5.4610741723980043</c:v>
                </c:pt>
                <c:pt idx="37">
                  <c:v>5.3654072476287684</c:v>
                </c:pt>
                <c:pt idx="38">
                  <c:v>5.2738182896561376</c:v>
                </c:pt>
                <c:pt idx="39">
                  <c:v>5.1860363190816603</c:v>
                </c:pt>
                <c:pt idx="40">
                  <c:v>5.1018144986137086</c:v>
                </c:pt>
                <c:pt idx="41">
                  <c:v>5.0209274618824109</c:v>
                </c:pt>
                <c:pt idx="42">
                  <c:v>4.9431689926766085</c:v>
                </c:pt>
                <c:pt idx="43">
                  <c:v>4.8683500017633312</c:v>
                </c:pt>
                <c:pt idx="44">
                  <c:v>4.7962967574070436</c:v>
                </c:pt>
                <c:pt idx="45">
                  <c:v>4.726849332984818</c:v>
                </c:pt>
                <c:pt idx="46">
                  <c:v>4.6598602410361796</c:v>
                </c:pt>
                <c:pt idx="47">
                  <c:v>4.5951932279616914</c:v>
                </c:pt>
                <c:pt idx="48">
                  <c:v>4.5327222076011857</c:v>
                </c:pt>
                <c:pt idx="49">
                  <c:v>4.4723303152465217</c:v>
                </c:pt>
                <c:pt idx="50">
                  <c:v>4.4139090664050027</c:v>
                </c:pt>
                <c:pt idx="51">
                  <c:v>4.3573576069329043</c:v>
                </c:pt>
                <c:pt idx="52">
                  <c:v>4.3025820430866482</c:v>
                </c:pt>
                <c:pt idx="53">
                  <c:v>4.2494948416591205</c:v>
                </c:pt>
                <c:pt idx="54">
                  <c:v>4.1980142917340677</c:v>
                </c:pt>
                <c:pt idx="55">
                  <c:v>4.1480640207469621</c:v>
                </c:pt>
                <c:pt idx="56">
                  <c:v>4.0995725585203893</c:v>
                </c:pt>
                <c:pt idx="57">
                  <c:v>4.0524729437766336</c:v>
                </c:pt>
                <c:pt idx="58">
                  <c:v>4.0067023683417844</c:v>
                </c:pt>
                <c:pt idx="59">
                  <c:v>3.9622018548656328</c:v>
                </c:pt>
                <c:pt idx="60">
                  <c:v>3.9189159644045288</c:v>
                </c:pt>
                <c:pt idx="61">
                  <c:v>3.8767925306649995</c:v>
                </c:pt>
                <c:pt idx="62">
                  <c:v>3.8357824180942597</c:v>
                </c:pt>
                <c:pt idx="63">
                  <c:v>3.7958393013400267</c:v>
                </c:pt>
                <c:pt idx="64">
                  <c:v>3.756919463893384</c:v>
                </c:pt>
                <c:pt idx="65">
                  <c:v>3.7189816139818399</c:v>
                </c:pt>
                <c:pt idx="66">
                  <c:v>3.6819867160001065</c:v>
                </c:pt>
                <c:pt idx="67">
                  <c:v>3.6458978359589831</c:v>
                </c:pt>
                <c:pt idx="68">
                  <c:v>3.6106799996009209</c:v>
                </c:pt>
                <c:pt idx="69">
                  <c:v>3.5763000619786158</c:v>
                </c:pt>
                <c:pt idx="70">
                  <c:v>3.5427265874226039</c:v>
                </c:pt>
                <c:pt idx="71">
                  <c:v>3.5099297389380175</c:v>
                </c:pt>
                <c:pt idx="72">
                  <c:v>3.4778811761710493</c:v>
                </c:pt>
                <c:pt idx="73">
                  <c:v>3.4465539611747165</c:v>
                </c:pt>
                <c:pt idx="74">
                  <c:v>3.4159224712819998</c:v>
                </c:pt>
                <c:pt idx="75">
                  <c:v>3.385962318464109</c:v>
                </c:pt>
                <c:pt idx="76">
                  <c:v>3.3566502746134135</c:v>
                </c:pt>
                <c:pt idx="77">
                  <c:v>3.3279642022456288</c:v>
                </c:pt>
                <c:pt idx="78">
                  <c:v>3.2998829901647402</c:v>
                </c:pt>
                <c:pt idx="79">
                  <c:v>3.2723864936778346</c:v>
                </c:pt>
                <c:pt idx="80">
                  <c:v>3.2454554789860048</c:v>
                </c:pt>
                <c:pt idx="81">
                  <c:v>3.2190715714123588</c:v>
                </c:pt>
                <c:pt idx="82">
                  <c:v>3.1932172071595373</c:v>
                </c:pt>
                <c:pt idx="83">
                  <c:v>3.1678755883168974</c:v>
                </c:pt>
                <c:pt idx="84">
                  <c:v>3.1430306408630573</c:v>
                </c:pt>
                <c:pt idx="85">
                  <c:v>3.1186669754319056</c:v>
                </c:pt>
                <c:pt idx="86">
                  <c:v>3.0947698506305668</c:v>
                </c:pt>
                <c:pt idx="87">
                  <c:v>3.0713251387164093</c:v>
                </c:pt>
                <c:pt idx="88">
                  <c:v>3.0483192934565535</c:v>
                </c:pt>
                <c:pt idx="89">
                  <c:v>3.0257393200084439</c:v>
                </c:pt>
                <c:pt idx="90">
                  <c:v>3.003572746673711</c:v>
                </c:pt>
                <c:pt idx="91">
                  <c:v>2.9818075983896648</c:v>
                </c:pt>
                <c:pt idx="92">
                  <c:v>2.9604323718340924</c:v>
                </c:pt>
                <c:pt idx="93">
                  <c:v>2.9394360120290632</c:v>
                </c:pt>
                <c:pt idx="94">
                  <c:v>2.9188078903387011</c:v>
                </c:pt>
                <c:pt idx="95">
                  <c:v>2.8985377837642234</c:v>
                </c:pt>
                <c:pt idx="96">
                  <c:v>2.8786158554472148</c:v>
                </c:pt>
                <c:pt idx="97">
                  <c:v>2.8590326362990464</c:v>
                </c:pt>
                <c:pt idx="98">
                  <c:v>2.8397790076806895</c:v>
                </c:pt>
                <c:pt idx="99">
                  <c:v>2.8208461850629671</c:v>
                </c:pt>
                <c:pt idx="100">
                  <c:v>2.8022257026026356</c:v>
                </c:pt>
                <c:pt idx="101">
                  <c:v>2.7839093985744796</c:v>
                </c:pt>
                <c:pt idx="102">
                  <c:v>2.765889401604082</c:v>
                </c:pt>
                <c:pt idx="103">
                  <c:v>2.7481581176500147</c:v>
                </c:pt>
                <c:pt idx="104">
                  <c:v>2.7307082176878903</c:v>
                </c:pt>
                <c:pt idx="105">
                  <c:v>2.7135326260522352</c:v>
                </c:pt>
                <c:pt idx="106">
                  <c:v>2.6966245093951446</c:v>
                </c:pt>
                <c:pt idx="107">
                  <c:v>2.6799772662238017</c:v>
                </c:pt>
                <c:pt idx="108">
                  <c:v>2.6635845169814059</c:v>
                </c:pt>
                <c:pt idx="109">
                  <c:v>2.6474400946386347</c:v>
                </c:pt>
                <c:pt idx="110">
                  <c:v>2.6315380357650366</c:v>
                </c:pt>
                <c:pt idx="111">
                  <c:v>2.6158725720517557</c:v>
                </c:pt>
                <c:pt idx="112">
                  <c:v>2.6004381222590442</c:v>
                </c:pt>
                <c:pt idx="113">
                  <c:v>2.5852292845636962</c:v>
                </c:pt>
                <c:pt idx="114">
                  <c:v>2.5702408292832981</c:v>
                </c:pt>
                <c:pt idx="115">
                  <c:v>2.555467691955581</c:v>
                </c:pt>
                <c:pt idx="116">
                  <c:v>2.5409049667527346</c:v>
                </c:pt>
                <c:pt idx="117">
                  <c:v>2.5265479002117166</c:v>
                </c:pt>
                <c:pt idx="118">
                  <c:v>2.5123918852629417</c:v>
                </c:pt>
                <c:pt idx="119">
                  <c:v>2.4984324555406658</c:v>
                </c:pt>
                <c:pt idx="120">
                  <c:v>2.4846652799597115</c:v>
                </c:pt>
                <c:pt idx="121">
                  <c:v>2.471086157543867</c:v>
                </c:pt>
                <c:pt idx="122">
                  <c:v>2.4576910124923907</c:v>
                </c:pt>
                <c:pt idx="123">
                  <c:v>2.4444758894718128</c:v>
                </c:pt>
                <c:pt idx="124">
                  <c:v>2.4314369491210339</c:v>
                </c:pt>
                <c:pt idx="125">
                  <c:v>2.4185704637584515</c:v>
                </c:pt>
                <c:pt idx="126">
                  <c:v>2.4058728132804652</c:v>
                </c:pt>
                <c:pt idx="127">
                  <c:v>2.3933404812414913</c:v>
                </c:pt>
                <c:pt idx="128">
                  <c:v>2.3809700511060456</c:v>
                </c:pt>
                <c:pt idx="129">
                  <c:v>2.3687582026640679</c:v>
                </c:pt>
                <c:pt idx="130">
                  <c:v>2.3567017086012583</c:v>
                </c:pt>
                <c:pt idx="131">
                  <c:v>2.3447974312165125</c:v>
                </c:pt>
                <c:pt idx="132">
                  <c:v>2.3330423192791794</c:v>
                </c:pt>
                <c:pt idx="133">
                  <c:v>2.3214334050190923</c:v>
                </c:pt>
                <c:pt idx="134">
                  <c:v>2.3099678012429177</c:v>
                </c:pt>
                <c:pt idx="135">
                  <c:v>2.2986426985705464</c:v>
                </c:pt>
                <c:pt idx="136">
                  <c:v>2.2874553627857543</c:v>
                </c:pt>
                <c:pt idx="137">
                  <c:v>2.2764031322956049</c:v>
                </c:pt>
                <c:pt idx="138">
                  <c:v>2.2654834156933199</c:v>
                </c:pt>
                <c:pt idx="139">
                  <c:v>2.254693689419796</c:v>
                </c:pt>
                <c:pt idx="140">
                  <c:v>2.2440314955190246</c:v>
                </c:pt>
                <c:pt idx="141">
                  <c:v>2.2334944394830436</c:v>
                </c:pt>
                <c:pt idx="142">
                  <c:v>2.2230801881822462</c:v>
                </c:pt>
                <c:pt idx="143">
                  <c:v>2.212786467877073</c:v>
                </c:pt>
                <c:pt idx="144">
                  <c:v>2.2026110623074211</c:v>
                </c:pt>
                <c:pt idx="145">
                  <c:v>2.1925518108561057</c:v>
                </c:pt>
                <c:pt idx="146">
                  <c:v>2.1826066067831351</c:v>
                </c:pt>
                <c:pt idx="147">
                  <c:v>2.1727733955275403</c:v>
                </c:pt>
                <c:pt idx="148">
                  <c:v>2.1630501730737457</c:v>
                </c:pt>
                <c:pt idx="149">
                  <c:v>2.1534349843796572</c:v>
                </c:pt>
                <c:pt idx="150">
                  <c:v>2.1439259218636755</c:v>
                </c:pt>
                <c:pt idx="151">
                  <c:v>2.1345211239481294</c:v>
                </c:pt>
                <c:pt idx="152">
                  <c:v>2.1252187736565915</c:v>
                </c:pt>
                <c:pt idx="153">
                  <c:v>2.1160170972628172</c:v>
                </c:pt>
                <c:pt idx="154">
                  <c:v>2.1069143629890399</c:v>
                </c:pt>
                <c:pt idx="155">
                  <c:v>2.0979088797515284</c:v>
                </c:pt>
                <c:pt idx="156">
                  <c:v>2.0889989959514206</c:v>
                </c:pt>
                <c:pt idx="157">
                  <c:v>2.0801830983088752</c:v>
                </c:pt>
                <c:pt idx="158">
                  <c:v>2.0714596107387933</c:v>
                </c:pt>
                <c:pt idx="159">
                  <c:v>2.0628269932663024</c:v>
                </c:pt>
                <c:pt idx="160">
                  <c:v>2.0542837409804329</c:v>
                </c:pt>
                <c:pt idx="161">
                  <c:v>2.0458283830243622</c:v>
                </c:pt>
                <c:pt idx="162">
                  <c:v>2.037459481620735</c:v>
                </c:pt>
                <c:pt idx="163">
                  <c:v>2.0291756311306939</c:v>
                </c:pt>
                <c:pt idx="164">
                  <c:v>2.0209754571451573</c:v>
                </c:pt>
                <c:pt idx="165">
                  <c:v>2.0128576156071416</c:v>
                </c:pt>
                <c:pt idx="166">
                  <c:v>2.0048207919638581</c:v>
                </c:pt>
                <c:pt idx="167">
                  <c:v>1.9968637003473693</c:v>
                </c:pt>
                <c:pt idx="168">
                  <c:v>1.9889850827827369</c:v>
                </c:pt>
                <c:pt idx="169">
                  <c:v>1.9811837084225536</c:v>
                </c:pt>
                <c:pt idx="170">
                  <c:v>1.973458372806798</c:v>
                </c:pt>
                <c:pt idx="171">
                  <c:v>1.9658078971471171</c:v>
                </c:pt>
                <c:pt idx="172">
                  <c:v>1.9582311276344999</c:v>
                </c:pt>
                <c:pt idx="173">
                  <c:v>1.9507269347695366</c:v>
                </c:pt>
                <c:pt idx="174">
                  <c:v>1.9432942127142907</c:v>
                </c:pt>
                <c:pt idx="175">
                  <c:v>1.9359318786651103</c:v>
                </c:pt>
                <c:pt idx="176">
                  <c:v>1.9286388722454493</c:v>
                </c:pt>
                <c:pt idx="177">
                  <c:v>1.921414154918045</c:v>
                </c:pt>
                <c:pt idx="178">
                  <c:v>1.914256709415693</c:v>
                </c:pt>
                <c:pt idx="179">
                  <c:v>1.907165539189926</c:v>
                </c:pt>
                <c:pt idx="180">
                  <c:v>1.9001396678769644</c:v>
                </c:pt>
                <c:pt idx="181">
                  <c:v>1.89317813878028</c:v>
                </c:pt>
                <c:pt idx="182">
                  <c:v>1.8862800143691669</c:v>
                </c:pt>
                <c:pt idx="183">
                  <c:v>1.8794443757927843</c:v>
                </c:pt>
                <c:pt idx="184">
                  <c:v>1.8726703224090324</c:v>
                </c:pt>
                <c:pt idx="185">
                  <c:v>1.8659569713278295</c:v>
                </c:pt>
                <c:pt idx="186">
                  <c:v>1.859303456968175</c:v>
                </c:pt>
                <c:pt idx="187">
                  <c:v>1.8527089306286004</c:v>
                </c:pt>
                <c:pt idx="188">
                  <c:v>1.8461725600704721</c:v>
                </c:pt>
                <c:pt idx="189">
                  <c:v>1.8396935291137193</c:v>
                </c:pt>
                <c:pt idx="190">
                  <c:v>1.8332710372445762</c:v>
                </c:pt>
                <c:pt idx="191">
                  <c:v>1.826904299234861</c:v>
                </c:pt>
                <c:pt idx="192">
                  <c:v>1.8205925447724611</c:v>
                </c:pt>
                <c:pt idx="193">
                  <c:v>1.8143350181026001</c:v>
                </c:pt>
                <c:pt idx="194">
                  <c:v>1.8081309776795147</c:v>
                </c:pt>
                <c:pt idx="195">
                  <c:v>1.8019796958282153</c:v>
                </c:pt>
                <c:pt idx="196">
                  <c:v>1.7958804584159702</c:v>
                </c:pt>
                <c:pt idx="197">
                  <c:v>1.7898325645331861</c:v>
                </c:pt>
                <c:pt idx="198">
                  <c:v>1.7838353261833668</c:v>
                </c:pt>
                <c:pt idx="199">
                  <c:v>1.7778880679818707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32B-4A77-8C48-42565A2FC082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Slope° 30 kn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Data!$A$2:$A$201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Data!$C$2:$C$201</c:f>
              <c:numCache>
                <c:formatCode>0.00</c:formatCode>
                <c:ptCount val="200"/>
                <c:pt idx="0">
                  <c:v>40.808862265275565</c:v>
                </c:pt>
                <c:pt idx="1">
                  <c:v>41.62109897927558</c:v>
                </c:pt>
                <c:pt idx="2">
                  <c:v>38.657839174960358</c:v>
                </c:pt>
                <c:pt idx="3">
                  <c:v>34.999975856952275</c:v>
                </c:pt>
                <c:pt idx="4">
                  <c:v>31.640321685003265</c:v>
                </c:pt>
                <c:pt idx="5">
                  <c:v>28.799509218204506</c:v>
                </c:pt>
                <c:pt idx="6">
                  <c:v>26.44478155717837</c:v>
                </c:pt>
                <c:pt idx="7">
                  <c:v>24.486844086298987</c:v>
                </c:pt>
                <c:pt idx="8">
                  <c:v>22.84070487294267</c:v>
                </c:pt>
                <c:pt idx="9">
                  <c:v>21.438709218827402</c:v>
                </c:pt>
                <c:pt idx="10">
                  <c:v>20.229689398769274</c:v>
                </c:pt>
                <c:pt idx="11">
                  <c:v>19.175303319894578</c:v>
                </c:pt>
                <c:pt idx="12">
                  <c:v>18.246617399653779</c:v>
                </c:pt>
                <c:pt idx="13">
                  <c:v>17.421509492431348</c:v>
                </c:pt>
                <c:pt idx="14">
                  <c:v>16.68281289026568</c:v>
                </c:pt>
                <c:pt idx="15">
                  <c:v>16.01701021830258</c:v>
                </c:pt>
                <c:pt idx="16">
                  <c:v>15.413311252975413</c:v>
                </c:pt>
                <c:pt idx="17">
                  <c:v>14.862994458530455</c:v>
                </c:pt>
                <c:pt idx="18">
                  <c:v>14.358930086023365</c:v>
                </c:pt>
                <c:pt idx="19">
                  <c:v>13.895229581895725</c:v>
                </c:pt>
                <c:pt idx="20">
                  <c:v>13.466984082890161</c:v>
                </c:pt>
                <c:pt idx="21">
                  <c:v>13.070066673929727</c:v>
                </c:pt>
                <c:pt idx="22">
                  <c:v>12.700980951557881</c:v>
                </c:pt>
                <c:pt idx="23">
                  <c:v>12.356743683699769</c:v>
                </c:pt>
                <c:pt idx="24">
                  <c:v>12.034792903153662</c:v>
                </c:pt>
                <c:pt idx="25">
                  <c:v>11.73291520293437</c:v>
                </c:pt>
                <c:pt idx="26">
                  <c:v>11.449187691289154</c:v>
                </c:pt>
                <c:pt idx="27">
                  <c:v>11.181931255054659</c:v>
                </c:pt>
                <c:pt idx="28">
                  <c:v>10.929672630330113</c:v>
                </c:pt>
                <c:pt idx="29">
                  <c:v>10.691113394099451</c:v>
                </c:pt>
                <c:pt idx="30">
                  <c:v>10.465104439892281</c:v>
                </c:pt>
                <c:pt idx="31">
                  <c:v>10.250624832789892</c:v>
                </c:pt>
                <c:pt idx="32">
                  <c:v>10.046764187126218</c:v>
                </c:pt>
                <c:pt idx="33">
                  <c:v>9.8527078971883064</c:v>
                </c:pt>
                <c:pt idx="34">
                  <c:v>9.6677246933838319</c:v>
                </c:pt>
                <c:pt idx="35">
                  <c:v>9.4911561053501927</c:v>
                </c:pt>
                <c:pt idx="36">
                  <c:v>9.3224074977206346</c:v>
                </c:pt>
                <c:pt idx="37">
                  <c:v>9.1609404098466509</c:v>
                </c:pt>
                <c:pt idx="38">
                  <c:v>9.0062659821927813</c:v>
                </c:pt>
                <c:pt idx="39">
                  <c:v>8.8579392926967309</c:v>
                </c:pt>
                <c:pt idx="40">
                  <c:v>8.7155544586106171</c:v>
                </c:pt>
                <c:pt idx="41">
                  <c:v>8.5787403850802519</c:v>
                </c:pt>
                <c:pt idx="42">
                  <c:v>8.4471570623992029</c:v>
                </c:pt>
                <c:pt idx="43">
                  <c:v>8.3204923305765668</c:v>
                </c:pt>
                <c:pt idx="44">
                  <c:v>8.1984590434167917</c:v>
                </c:pt>
                <c:pt idx="45">
                  <c:v>8.0807925753712091</c:v>
                </c:pt>
                <c:pt idx="46">
                  <c:v>7.9672486234865429</c:v>
                </c:pt>
                <c:pt idx="47">
                  <c:v>7.8576012642385171</c:v>
                </c:pt>
                <c:pt idx="48">
                  <c:v>7.7516412312086445</c:v>
                </c:pt>
                <c:pt idx="49">
                  <c:v>7.6491743846837172</c:v>
                </c:pt>
                <c:pt idx="50">
                  <c:v>7.5500203485252682</c:v>
                </c:pt>
                <c:pt idx="51">
                  <c:v>7.4540112932265039</c:v>
                </c:pt>
                <c:pt idx="52">
                  <c:v>7.3609908470706191</c:v>
                </c:pt>
                <c:pt idx="53">
                  <c:v>7.270813119829028</c:v>
                </c:pt>
                <c:pt idx="54">
                  <c:v>7.1833418255711718</c:v>
                </c:pt>
                <c:pt idx="55">
                  <c:v>7.0984494929668154</c:v>
                </c:pt>
                <c:pt idx="56">
                  <c:v>7.0160167529996098</c:v>
                </c:pt>
                <c:pt idx="57">
                  <c:v>6.9359316953232382</c:v>
                </c:pt>
                <c:pt idx="58">
                  <c:v>6.8580892856136586</c:v>
                </c:pt>
                <c:pt idx="59">
                  <c:v>6.7823908372338169</c:v>
                </c:pt>
                <c:pt idx="60">
                  <c:v>6.7087435313552799</c:v>
                </c:pt>
                <c:pt idx="61">
                  <c:v>6.6370599803951311</c:v>
                </c:pt>
                <c:pt idx="62">
                  <c:v>6.5672578302437508</c:v>
                </c:pt>
                <c:pt idx="63">
                  <c:v>6.4992593972937582</c:v>
                </c:pt>
                <c:pt idx="64">
                  <c:v>6.4329913367449043</c:v>
                </c:pt>
                <c:pt idx="65">
                  <c:v>6.3683843390640176</c:v>
                </c:pt>
                <c:pt idx="66">
                  <c:v>6.3053728518315069</c:v>
                </c:pt>
                <c:pt idx="67">
                  <c:v>6.2438948245146726</c:v>
                </c:pt>
                <c:pt idx="68">
                  <c:v>6.1838914739776465</c:v>
                </c:pt>
                <c:pt idx="69">
                  <c:v>6.1253070687751299</c:v>
                </c:pt>
                <c:pt idx="70">
                  <c:v>6.0680887304854405</c:v>
                </c:pt>
                <c:pt idx="71">
                  <c:v>6.0121862505220758</c:v>
                </c:pt>
                <c:pt idx="72">
                  <c:v>5.9575519210250052</c:v>
                </c:pt>
                <c:pt idx="73">
                  <c:v>5.9041403785764031</c:v>
                </c:pt>
                <c:pt idx="74">
                  <c:v>5.8519084596122601</c:v>
                </c:pt>
                <c:pt idx="75">
                  <c:v>5.8008150665143043</c:v>
                </c:pt>
                <c:pt idx="76">
                  <c:v>5.7508210434663329</c:v>
                </c:pt>
                <c:pt idx="77">
                  <c:v>5.7018890612484423</c:v>
                </c:pt>
                <c:pt idx="78">
                  <c:v>5.6539835102221296</c:v>
                </c:pt>
                <c:pt idx="79">
                  <c:v>5.6070704008297287</c:v>
                </c:pt>
                <c:pt idx="80">
                  <c:v>5.561117270995549</c:v>
                </c:pt>
                <c:pt idx="81">
                  <c:v>5.5160930998725028</c:v>
                </c:pt>
                <c:pt idx="82">
                  <c:v>5.4719682274290484</c:v>
                </c:pt>
                <c:pt idx="83">
                  <c:v>5.4287142794168588</c:v>
                </c:pt>
                <c:pt idx="84">
                  <c:v>5.3863040973009344</c:v>
                </c:pt>
                <c:pt idx="85">
                  <c:v>5.3447116727703996</c:v>
                </c:pt>
                <c:pt idx="86">
                  <c:v>5.3039120864822307</c:v>
                </c:pt>
                <c:pt idx="87">
                  <c:v>5.2638814507194347</c:v>
                </c:pt>
                <c:pt idx="88">
                  <c:v>5.2245968556730666</c:v>
                </c:pt>
                <c:pt idx="89">
                  <c:v>5.1860363190816603</c:v>
                </c:pt>
                <c:pt idx="90">
                  <c:v>5.1481787389839653</c:v>
                </c:pt>
                <c:pt idx="91">
                  <c:v>5.1110038493611496</c:v>
                </c:pt>
                <c:pt idx="92">
                  <c:v>5.0744921784628421</c:v>
                </c:pt>
                <c:pt idx="93">
                  <c:v>5.0386250096281424</c:v>
                </c:pt>
                <c:pt idx="94">
                  <c:v>5.0033843444276886</c:v>
                </c:pt>
                <c:pt idx="95">
                  <c:v>4.9687528679667894</c:v>
                </c:pt>
                <c:pt idx="96">
                  <c:v>4.9347139162021607</c:v>
                </c:pt>
                <c:pt idx="97">
                  <c:v>4.9012514451362241</c:v>
                </c:pt>
                <c:pt idx="98">
                  <c:v>4.8683500017633303</c:v>
                </c:pt>
                <c:pt idx="99">
                  <c:v>4.8359946966520448</c:v>
                </c:pt>
                <c:pt idx="100">
                  <c:v>4.8041711780560306</c:v>
                </c:pt>
                <c:pt idx="101">
                  <c:v>4.7728656074544729</c:v>
                </c:pt>
                <c:pt idx="102">
                  <c:v>4.7420646364299213</c:v>
                </c:pt>
                <c:pt idx="103">
                  <c:v>4.7117553847985549</c:v>
                </c:pt>
                <c:pt idx="104">
                  <c:v>4.681925419913691</c:v>
                </c:pt>
                <c:pt idx="105">
                  <c:v>4.6525627370692817</c:v>
                </c:pt>
                <c:pt idx="106">
                  <c:v>4.6236557409353116</c:v>
                </c:pt>
                <c:pt idx="107">
                  <c:v>4.5951932279616923</c:v>
                </c:pt>
                <c:pt idx="108">
                  <c:v>4.5671643696918558</c:v>
                </c:pt>
                <c:pt idx="109">
                  <c:v>4.5395586969312056</c:v>
                </c:pt>
                <c:pt idx="110">
                  <c:v>4.5123660847193596</c:v>
                </c:pt>
                <c:pt idx="111">
                  <c:v>4.4855767380586533</c:v>
                </c:pt>
                <c:pt idx="112">
                  <c:v>4.4591811783545099</c:v>
                </c:pt>
                <c:pt idx="113">
                  <c:v>4.4331702305263043</c:v>
                </c:pt>
                <c:pt idx="114">
                  <c:v>4.4075350107500508</c:v>
                </c:pt>
                <c:pt idx="115">
                  <c:v>4.382266914796781</c:v>
                </c:pt>
                <c:pt idx="116">
                  <c:v>4.3573576069329052</c:v>
                </c:pt>
                <c:pt idx="117">
                  <c:v>4.3327990093509108</c:v>
                </c:pt>
                <c:pt idx="118">
                  <c:v>4.308583292100951</c:v>
                </c:pt>
                <c:pt idx="119">
                  <c:v>4.2847028634954434</c:v>
                </c:pt>
                <c:pt idx="120">
                  <c:v>4.261150360960996</c:v>
                </c:pt>
                <c:pt idx="121">
                  <c:v>4.2379186423131667</c:v>
                </c:pt>
                <c:pt idx="122">
                  <c:v>4.2150007774312925</c:v>
                </c:pt>
                <c:pt idx="123">
                  <c:v>4.1923900403120307</c:v>
                </c:pt>
                <c:pt idx="124">
                  <c:v>4.1700799014814702</c:v>
                </c:pt>
                <c:pt idx="125">
                  <c:v>4.1480640207469595</c:v>
                </c:pt>
                <c:pt idx="126">
                  <c:v>4.1263362402708417</c:v>
                </c:pt>
                <c:pt idx="127">
                  <c:v>4.1048905779495346</c:v>
                </c:pt>
                <c:pt idx="128">
                  <c:v>4.0837212210820981</c:v>
                </c:pt>
                <c:pt idx="129">
                  <c:v>4.0628225203136452</c:v>
                </c:pt>
                <c:pt idx="130">
                  <c:v>4.0421889838395728</c:v>
                </c:pt>
                <c:pt idx="131">
                  <c:v>4.0218152718575864</c:v>
                </c:pt>
                <c:pt idx="132">
                  <c:v>4.0016961912550482</c:v>
                </c:pt>
                <c:pt idx="133">
                  <c:v>3.9818266905201316</c:v>
                </c:pt>
                <c:pt idx="134">
                  <c:v>3.9622018548656333</c:v>
                </c:pt>
                <c:pt idx="135">
                  <c:v>3.9428169015551631</c:v>
                </c:pt>
                <c:pt idx="136">
                  <c:v>3.9236671754218939</c:v>
                </c:pt>
                <c:pt idx="137">
                  <c:v>3.9047481445705303</c:v>
                </c:pt>
                <c:pt idx="138">
                  <c:v>3.8860553962538829</c:v>
                </c:pt>
                <c:pt idx="139">
                  <c:v>3.8675846329156096</c:v>
                </c:pt>
                <c:pt idx="140">
                  <c:v>3.8493316683914496</c:v>
                </c:pt>
                <c:pt idx="141">
                  <c:v>3.8312924242614272</c:v>
                </c:pt>
                <c:pt idx="142">
                  <c:v>3.8134629263460722</c:v>
                </c:pt>
                <c:pt idx="143">
                  <c:v>3.7958393013400249</c:v>
                </c:pt>
                <c:pt idx="144">
                  <c:v>3.7784177735766451</c:v>
                </c:pt>
                <c:pt idx="145">
                  <c:v>3.7611946619178229</c:v>
                </c:pt>
                <c:pt idx="146">
                  <c:v>3.7441663767631912</c:v>
                </c:pt>
                <c:pt idx="147">
                  <c:v>3.7273294171734297</c:v>
                </c:pt>
                <c:pt idx="148">
                  <c:v>3.7106803681026252</c:v>
                </c:pt>
                <c:pt idx="149">
                  <c:v>3.6942158977347717</c:v>
                </c:pt>
                <c:pt idx="150">
                  <c:v>3.6779327549199246</c:v>
                </c:pt>
                <c:pt idx="151">
                  <c:v>3.6618277667055397</c:v>
                </c:pt>
                <c:pt idx="152">
                  <c:v>3.6458978359589813</c:v>
                </c:pt>
                <c:pt idx="153">
                  <c:v>3.6301399390772344</c:v>
                </c:pt>
                <c:pt idx="154">
                  <c:v>3.6145511237799632</c:v>
                </c:pt>
                <c:pt idx="155">
                  <c:v>3.5991285069825829</c:v>
                </c:pt>
                <c:pt idx="156">
                  <c:v>3.5838692727457984</c:v>
                </c:pt>
                <c:pt idx="157">
                  <c:v>3.5687706702984165</c:v>
                </c:pt>
                <c:pt idx="158">
                  <c:v>3.5538300121304371</c:v>
                </c:pt>
                <c:pt idx="159">
                  <c:v>3.5390446721534281</c:v>
                </c:pt>
                <c:pt idx="160">
                  <c:v>3.5244120839254842</c:v>
                </c:pt>
                <c:pt idx="161">
                  <c:v>3.509929738938018</c:v>
                </c:pt>
                <c:pt idx="162">
                  <c:v>3.4955951849619935</c:v>
                </c:pt>
                <c:pt idx="163">
                  <c:v>3.4814060244510645</c:v>
                </c:pt>
                <c:pt idx="164">
                  <c:v>3.4673599129994224</c:v>
                </c:pt>
                <c:pt idx="165">
                  <c:v>3.4534545578521008</c:v>
                </c:pt>
                <c:pt idx="166">
                  <c:v>3.4396877164657034</c:v>
                </c:pt>
                <c:pt idx="167">
                  <c:v>3.4260571951175161</c:v>
                </c:pt>
                <c:pt idx="168">
                  <c:v>3.4125608475611147</c:v>
                </c:pt>
                <c:pt idx="169">
                  <c:v>3.399196573726655</c:v>
                </c:pt>
                <c:pt idx="170">
                  <c:v>3.385962318464109</c:v>
                </c:pt>
                <c:pt idx="171">
                  <c:v>3.3728560703277934</c:v>
                </c:pt>
                <c:pt idx="172">
                  <c:v>3.3598758604006029</c:v>
                </c:pt>
                <c:pt idx="173">
                  <c:v>3.3470197611563801</c:v>
                </c:pt>
                <c:pt idx="174">
                  <c:v>3.3342858853590589</c:v>
                </c:pt>
                <c:pt idx="175">
                  <c:v>3.3216723849971785</c:v>
                </c:pt>
                <c:pt idx="176">
                  <c:v>3.3091774502523346</c:v>
                </c:pt>
                <c:pt idx="177">
                  <c:v>3.2967993085004421</c:v>
                </c:pt>
                <c:pt idx="178">
                  <c:v>3.2845362233445257</c:v>
                </c:pt>
                <c:pt idx="179">
                  <c:v>3.2723864936778351</c:v>
                </c:pt>
                <c:pt idx="180">
                  <c:v>3.2603484527762547</c:v>
                </c:pt>
                <c:pt idx="181">
                  <c:v>3.2484204674188786</c:v>
                </c:pt>
                <c:pt idx="182">
                  <c:v>3.2366009370357447</c:v>
                </c:pt>
                <c:pt idx="183">
                  <c:v>3.2248882928817526</c:v>
                </c:pt>
                <c:pt idx="184">
                  <c:v>3.2132809972358043</c:v>
                </c:pt>
                <c:pt idx="185">
                  <c:v>3.201777542624316</c:v>
                </c:pt>
                <c:pt idx="186">
                  <c:v>3.1903764510681407</c:v>
                </c:pt>
                <c:pt idx="187">
                  <c:v>3.1790762733521989</c:v>
                </c:pt>
                <c:pt idx="188">
                  <c:v>3.1678755883168965</c:v>
                </c:pt>
                <c:pt idx="189">
                  <c:v>3.1567730021706444</c:v>
                </c:pt>
                <c:pt idx="190">
                  <c:v>3.1457671478227565</c:v>
                </c:pt>
                <c:pt idx="191">
                  <c:v>3.1348566842359071</c:v>
                </c:pt>
                <c:pt idx="192">
                  <c:v>3.1240402957976388</c:v>
                </c:pt>
                <c:pt idx="193">
                  <c:v>3.1133166917101374</c:v>
                </c:pt>
                <c:pt idx="194">
                  <c:v>3.1026846053977009</c:v>
                </c:pt>
                <c:pt idx="195">
                  <c:v>3.0921427939313064</c:v>
                </c:pt>
                <c:pt idx="196">
                  <c:v>3.0816900374696981</c:v>
                </c:pt>
                <c:pt idx="197">
                  <c:v>3.0713251387164089</c:v>
                </c:pt>
                <c:pt idx="198">
                  <c:v>3.0610469223922281</c:v>
                </c:pt>
                <c:pt idx="199">
                  <c:v>3.0508542347225625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32B-4A77-8C48-42565A2FC082}"/>
            </c:ext>
          </c:extLst>
        </c:ser>
        <c:ser>
          <c:idx val="2"/>
          <c:order val="2"/>
          <c:tx>
            <c:strRef>
              <c:f>Data!$D$1</c:f>
              <c:strCache>
                <c:ptCount val="1"/>
                <c:pt idx="0">
                  <c:v>Slope° 40 kn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Data!$A$2:$A$201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Data!$D$2:$D$201</c:f>
              <c:numCache>
                <c:formatCode>0.00</c:formatCode>
                <c:ptCount val="200"/>
                <c:pt idx="0">
                  <c:v>37.005145868363186</c:v>
                </c:pt>
                <c:pt idx="1">
                  <c:v>41.339801867569449</c:v>
                </c:pt>
                <c:pt idx="2">
                  <c:v>42.023770707537999</c:v>
                </c:pt>
                <c:pt idx="3">
                  <c:v>41.056315043289445</c:v>
                </c:pt>
                <c:pt idx="4">
                  <c:v>39.318428331052345</c:v>
                </c:pt>
                <c:pt idx="5">
                  <c:v>37.287928036181668</c:v>
                </c:pt>
                <c:pt idx="6">
                  <c:v>35.224697087651052</c:v>
                </c:pt>
                <c:pt idx="7">
                  <c:v>33.259259537826686</c:v>
                </c:pt>
                <c:pt idx="8">
                  <c:v>31.447262725339652</c:v>
                </c:pt>
                <c:pt idx="9">
                  <c:v>29.803723024375707</c:v>
                </c:pt>
                <c:pt idx="10">
                  <c:v>28.32347702783845</c:v>
                </c:pt>
                <c:pt idx="11">
                  <c:v>26.992638058013661</c:v>
                </c:pt>
                <c:pt idx="12">
                  <c:v>25.794600604874439</c:v>
                </c:pt>
                <c:pt idx="13">
                  <c:v>24.712948125011181</c:v>
                </c:pt>
                <c:pt idx="14">
                  <c:v>23.732698385754006</c:v>
                </c:pt>
                <c:pt idx="15">
                  <c:v>22.840704872942673</c:v>
                </c:pt>
                <c:pt idx="16">
                  <c:v>22.025658765377365</c:v>
                </c:pt>
                <c:pt idx="17">
                  <c:v>21.277922537628132</c:v>
                </c:pt>
                <c:pt idx="18">
                  <c:v>20.589309728998014</c:v>
                </c:pt>
                <c:pt idx="19">
                  <c:v>19.952864047172252</c:v>
                </c:pt>
                <c:pt idx="20">
                  <c:v>19.362659775005483</c:v>
                </c:pt>
                <c:pt idx="21">
                  <c:v>18.81363025871434</c:v>
                </c:pt>
                <c:pt idx="22">
                  <c:v>18.301424329639506</c:v>
                </c:pt>
                <c:pt idx="23">
                  <c:v>17.822287720854124</c:v>
                </c:pt>
                <c:pt idx="24">
                  <c:v>17.372965732180205</c:v>
                </c:pt>
                <c:pt idx="25">
                  <c:v>16.950623477080136</c:v>
                </c:pt>
                <c:pt idx="26">
                  <c:v>16.552780471097083</c:v>
                </c:pt>
                <c:pt idx="27">
                  <c:v>16.177256838109766</c:v>
                </c:pt>
                <c:pt idx="28">
                  <c:v>15.822128905489796</c:v>
                </c:pt>
                <c:pt idx="29">
                  <c:v>15.48569239036877</c:v>
                </c:pt>
                <c:pt idx="30">
                  <c:v>15.16643173741538</c:v>
                </c:pt>
                <c:pt idx="31">
                  <c:v>14.862994458530455</c:v>
                </c:pt>
                <c:pt idx="32">
                  <c:v>14.57416955636945</c:v>
                </c:pt>
                <c:pt idx="33">
                  <c:v>14.298869297063666</c:v>
                </c:pt>
                <c:pt idx="34">
                  <c:v>14.036113742474331</c:v>
                </c:pt>
                <c:pt idx="35">
                  <c:v>13.78501756684269</c:v>
                </c:pt>
                <c:pt idx="36">
                  <c:v>13.54477877333524</c:v>
                </c:pt>
                <c:pt idx="37">
                  <c:v>13.314668997918385</c:v>
                </c:pt>
                <c:pt idx="38">
                  <c:v>13.094025145299687</c:v>
                </c:pt>
                <c:pt idx="39">
                  <c:v>12.882242147505901</c:v>
                </c:pt>
                <c:pt idx="40">
                  <c:v>12.678766672491248</c:v>
                </c:pt>
                <c:pt idx="41">
                  <c:v>12.48309163988497</c:v>
                </c:pt>
                <c:pt idx="42">
                  <c:v>12.294751425077205</c:v>
                </c:pt>
                <c:pt idx="43">
                  <c:v>12.11331765246023</c:v>
                </c:pt>
                <c:pt idx="44">
                  <c:v>11.938395494686755</c:v>
                </c:pt>
                <c:pt idx="45">
                  <c:v>11.769620407988288</c:v>
                </c:pt>
                <c:pt idx="46">
                  <c:v>11.606655244468179</c:v>
                </c:pt>
                <c:pt idx="47">
                  <c:v>11.449187691289149</c:v>
                </c:pt>
                <c:pt idx="48">
                  <c:v>11.296927994161372</c:v>
                </c:pt>
                <c:pt idx="49">
                  <c:v>11.149606928785373</c:v>
                </c:pt>
                <c:pt idx="50">
                  <c:v>11.006973989137709</c:v>
                </c:pt>
                <c:pt idx="51">
                  <c:v>10.868795765885501</c:v>
                </c:pt>
                <c:pt idx="52">
                  <c:v>10.734854491925939</c:v>
                </c:pt>
                <c:pt idx="53">
                  <c:v>10.604946735185008</c:v>
                </c:pt>
                <c:pt idx="54">
                  <c:v>10.47888222147364</c:v>
                </c:pt>
                <c:pt idx="55">
                  <c:v>10.356482772466547</c:v>
                </c:pt>
                <c:pt idx="56">
                  <c:v>10.237581345805168</c:v>
                </c:pt>
                <c:pt idx="57">
                  <c:v>10.122021165983098</c:v>
                </c:pt>
                <c:pt idx="58">
                  <c:v>10.009654936095206</c:v>
                </c:pt>
                <c:pt idx="59">
                  <c:v>9.9003441217558574</c:v>
                </c:pt>
                <c:pt idx="60">
                  <c:v>9.7939582995483274</c:v>
                </c:pt>
                <c:pt idx="61">
                  <c:v>9.6903745632812495</c:v>
                </c:pt>
                <c:pt idx="62">
                  <c:v>9.5894769821200381</c:v>
                </c:pt>
                <c:pt idx="63">
                  <c:v>9.4911561053501927</c:v>
                </c:pt>
                <c:pt idx="64">
                  <c:v>9.3953085091281654</c:v>
                </c:pt>
                <c:pt idx="65">
                  <c:v>9.3018363810998643</c:v>
                </c:pt>
                <c:pt idx="66">
                  <c:v>9.2106471392234361</c:v>
                </c:pt>
                <c:pt idx="67">
                  <c:v>9.1216530815350865</c:v>
                </c:pt>
                <c:pt idx="68">
                  <c:v>9.0347710639481562</c:v>
                </c:pt>
                <c:pt idx="69">
                  <c:v>8.9499222034859542</c:v>
                </c:pt>
                <c:pt idx="70">
                  <c:v>8.8670316046218218</c:v>
                </c:pt>
                <c:pt idx="71">
                  <c:v>8.7860281066410764</c:v>
                </c:pt>
                <c:pt idx="72">
                  <c:v>8.7068440501526574</c:v>
                </c:pt>
                <c:pt idx="73">
                  <c:v>8.6294150610675597</c:v>
                </c:pt>
                <c:pt idx="74">
                  <c:v>8.5536798505284946</c:v>
                </c:pt>
                <c:pt idx="75">
                  <c:v>8.4795800294246924</c:v>
                </c:pt>
                <c:pt idx="76">
                  <c:v>8.407059936258074</c:v>
                </c:pt>
                <c:pt idx="77">
                  <c:v>8.3360664772458044</c:v>
                </c:pt>
                <c:pt idx="78">
                  <c:v>8.2665489776496024</c:v>
                </c:pt>
                <c:pt idx="79">
                  <c:v>8.1984590434167952</c:v>
                </c:pt>
                <c:pt idx="80">
                  <c:v>8.1317504323028444</c:v>
                </c:pt>
                <c:pt idx="81">
                  <c:v>8.0663789337207952</c:v>
                </c:pt>
                <c:pt idx="82">
                  <c:v>8.0023022566314417</c:v>
                </c:pt>
                <c:pt idx="83">
                  <c:v>7.9394799248490759</c:v>
                </c:pt>
                <c:pt idx="84">
                  <c:v>7.8778731791931396</c:v>
                </c:pt>
                <c:pt idx="85">
                  <c:v>7.8174448859655028</c:v>
                </c:pt>
                <c:pt idx="86">
                  <c:v>7.758159451278325</c:v>
                </c:pt>
                <c:pt idx="87">
                  <c:v>7.6999827407977328</c:v>
                </c:pt>
                <c:pt idx="88">
                  <c:v>7.6428820045053465</c:v>
                </c:pt>
                <c:pt idx="89">
                  <c:v>7.5868258061130911</c:v>
                </c:pt>
                <c:pt idx="90">
                  <c:v>7.5317839567964731</c:v>
                </c:pt>
                <c:pt idx="91">
                  <c:v>7.4777274529392059</c:v>
                </c:pt>
                <c:pt idx="92">
                  <c:v>7.4246284176068693</c:v>
                </c:pt>
                <c:pt idx="93">
                  <c:v>7.372460045489559</c:v>
                </c:pt>
                <c:pt idx="94">
                  <c:v>7.3211965510746708</c:v>
                </c:pt>
                <c:pt idx="95">
                  <c:v>7.2708131198290289</c:v>
                </c:pt>
                <c:pt idx="96">
                  <c:v>7.2212858621872398</c:v>
                </c:pt>
                <c:pt idx="97">
                  <c:v>7.1725917701585695</c:v>
                </c:pt>
                <c:pt idx="98">
                  <c:v>7.1247086763787335</c:v>
                </c:pt>
                <c:pt idx="99">
                  <c:v>7.0776152154465048</c:v>
                </c:pt>
                <c:pt idx="100">
                  <c:v>7.0312907873965402</c:v>
                </c:pt>
                <c:pt idx="101">
                  <c:v>6.9857155231711383</c:v>
                </c:pt>
                <c:pt idx="102">
                  <c:v>6.9408702519634922</c:v>
                </c:pt>
                <c:pt idx="103">
                  <c:v>6.8967364703144076</c:v>
                </c:pt>
                <c:pt idx="104">
                  <c:v>6.8532963128527351</c:v>
                </c:pt>
                <c:pt idx="105">
                  <c:v>6.8105325245777966</c:v>
                </c:pt>
                <c:pt idx="106">
                  <c:v>6.768428434589107</c:v>
                </c:pt>
                <c:pt idx="107">
                  <c:v>6.7269679311753583</c:v>
                </c:pt>
                <c:pt idx="108">
                  <c:v>6.6861354381807345</c:v>
                </c:pt>
                <c:pt idx="109">
                  <c:v>6.6459158925723054</c:v>
                </c:pt>
                <c:pt idx="110">
                  <c:v>6.6062947231372426</c:v>
                </c:pt>
                <c:pt idx="111">
                  <c:v>6.567257830243749</c:v>
                </c:pt>
                <c:pt idx="112">
                  <c:v>6.5287915666036156</c:v>
                </c:pt>
                <c:pt idx="113">
                  <c:v>6.4908827189787068</c:v>
                </c:pt>
                <c:pt idx="114">
                  <c:v>6.4535184907774816</c:v>
                </c:pt>
                <c:pt idx="115">
                  <c:v>6.4166864854908487</c:v>
                </c:pt>
                <c:pt idx="116">
                  <c:v>6.3803746909204548</c:v>
                </c:pt>
                <c:pt idx="117">
                  <c:v>6.3445714641549271</c:v>
                </c:pt>
                <c:pt idx="118">
                  <c:v>6.3092655172529444</c:v>
                </c:pt>
                <c:pt idx="119">
                  <c:v>6.2744459035941764</c:v>
                </c:pt>
                <c:pt idx="120">
                  <c:v>6.2401020048619493</c:v>
                </c:pt>
                <c:pt idx="121">
                  <c:v>6.2062235186233057</c:v>
                </c:pt>
                <c:pt idx="122">
                  <c:v>6.1728004464747528</c:v>
                </c:pt>
                <c:pt idx="123">
                  <c:v>6.1398230827234048</c:v>
                </c:pt>
                <c:pt idx="124">
                  <c:v>6.107282003575464</c:v>
                </c:pt>
                <c:pt idx="125">
                  <c:v>6.0751680568054809</c:v>
                </c:pt>
                <c:pt idx="126">
                  <c:v>6.0434723518814248</c:v>
                </c:pt>
                <c:pt idx="127">
                  <c:v>6.0121862505220784</c:v>
                </c:pt>
                <c:pt idx="128">
                  <c:v>5.9813013576647815</c:v>
                </c:pt>
                <c:pt idx="129">
                  <c:v>5.9508095128226186</c:v>
                </c:pt>
                <c:pt idx="130">
                  <c:v>5.9207027818114479</c:v>
                </c:pt>
                <c:pt idx="131">
                  <c:v>5.8909734488283885</c:v>
                </c:pt>
                <c:pt idx="132">
                  <c:v>5.8616140088642519</c:v>
                </c:pt>
                <c:pt idx="133">
                  <c:v>5.8326171604335695</c:v>
                </c:pt>
                <c:pt idx="134">
                  <c:v>5.8039757986066034</c:v>
                </c:pt>
                <c:pt idx="135">
                  <c:v>5.7756830083288095</c:v>
                </c:pt>
                <c:pt idx="136">
                  <c:v>5.7477320580138</c:v>
                </c:pt>
                <c:pt idx="137">
                  <c:v>5.7201163933967898</c:v>
                </c:pt>
                <c:pt idx="138">
                  <c:v>5.6928296316362319</c:v>
                </c:pt>
                <c:pt idx="139">
                  <c:v>5.6658655556517505</c:v>
                </c:pt>
                <c:pt idx="140">
                  <c:v>5.6392181086875599</c:v>
                </c:pt>
                <c:pt idx="141">
                  <c:v>5.6128813890906466</c:v>
                </c:pt>
                <c:pt idx="142">
                  <c:v>5.586849645294043</c:v>
                </c:pt>
                <c:pt idx="143">
                  <c:v>5.5611172709955525</c:v>
                </c:pt>
                <c:pt idx="144">
                  <c:v>5.5356788005232032</c:v>
                </c:pt>
                <c:pt idx="145">
                  <c:v>5.5105289043789405</c:v>
                </c:pt>
                <c:pt idx="146">
                  <c:v>5.4856623849525121</c:v>
                </c:pt>
                <c:pt idx="147">
                  <c:v>5.4610741723980043</c:v>
                </c:pt>
                <c:pt idx="148">
                  <c:v>5.436759320665721</c:v>
                </c:pt>
                <c:pt idx="149">
                  <c:v>5.412713003682792</c:v>
                </c:pt>
                <c:pt idx="150">
                  <c:v>5.3889305116756834</c:v>
                </c:pt>
                <c:pt idx="151">
                  <c:v>5.3654072476287684</c:v>
                </c:pt>
                <c:pt idx="152">
                  <c:v>5.3421387238728002</c:v>
                </c:pt>
                <c:pt idx="153">
                  <c:v>5.319120558797934</c:v>
                </c:pt>
                <c:pt idx="154">
                  <c:v>5.2963484736858844</c:v>
                </c:pt>
                <c:pt idx="155">
                  <c:v>5.2738182896561376</c:v>
                </c:pt>
                <c:pt idx="156">
                  <c:v>5.2515259247215438</c:v>
                </c:pt>
                <c:pt idx="157">
                  <c:v>5.2294673909485532</c:v>
                </c:pt>
                <c:pt idx="158">
                  <c:v>5.207638791717951</c:v>
                </c:pt>
                <c:pt idx="159">
                  <c:v>5.1860363190816603</c:v>
                </c:pt>
                <c:pt idx="160">
                  <c:v>5.1646562512120031</c:v>
                </c:pt>
                <c:pt idx="161">
                  <c:v>5.1434949499393143</c:v>
                </c:pt>
                <c:pt idx="162">
                  <c:v>5.1225488583746204</c:v>
                </c:pt>
                <c:pt idx="163">
                  <c:v>5.1018144986137086</c:v>
                </c:pt>
                <c:pt idx="164">
                  <c:v>5.0812884695195155</c:v>
                </c:pt>
                <c:pt idx="165">
                  <c:v>5.0609674445795463</c:v>
                </c:pt>
                <c:pt idx="166">
                  <c:v>5.0408481698355523</c:v>
                </c:pt>
                <c:pt idx="167">
                  <c:v>5.0209274618824109</c:v>
                </c:pt>
                <c:pt idx="168">
                  <c:v>5.0012022059336312</c:v>
                </c:pt>
                <c:pt idx="169">
                  <c:v>4.9816693539509149</c:v>
                </c:pt>
                <c:pt idx="170">
                  <c:v>4.9623259228351424</c:v>
                </c:pt>
                <c:pt idx="171">
                  <c:v>4.9431689926766085</c:v>
                </c:pt>
                <c:pt idx="172">
                  <c:v>4.9241957050621004</c:v>
                </c:pt>
                <c:pt idx="173">
                  <c:v>4.9054032614367546</c:v>
                </c:pt>
                <c:pt idx="174">
                  <c:v>4.886788921518507</c:v>
                </c:pt>
                <c:pt idx="175">
                  <c:v>4.8683500017633312</c:v>
                </c:pt>
                <c:pt idx="176">
                  <c:v>4.8500838738791741</c:v>
                </c:pt>
                <c:pt idx="177">
                  <c:v>4.8319879633869309</c:v>
                </c:pt>
                <c:pt idx="178">
                  <c:v>4.8140597482265841</c:v>
                </c:pt>
                <c:pt idx="179">
                  <c:v>4.7962967574070436</c:v>
                </c:pt>
                <c:pt idx="180">
                  <c:v>4.778696569697825</c:v>
                </c:pt>
                <c:pt idx="181">
                  <c:v>4.7612568123613102</c:v>
                </c:pt>
                <c:pt idx="182">
                  <c:v>4.7439751599238971</c:v>
                </c:pt>
                <c:pt idx="183">
                  <c:v>4.726849332984818</c:v>
                </c:pt>
                <c:pt idx="184">
                  <c:v>4.7098770970611685</c:v>
                </c:pt>
                <c:pt idx="185">
                  <c:v>4.6930562614678868</c:v>
                </c:pt>
                <c:pt idx="186">
                  <c:v>4.6763846782314609</c:v>
                </c:pt>
                <c:pt idx="187">
                  <c:v>4.6598602410361796</c:v>
                </c:pt>
                <c:pt idx="188">
                  <c:v>4.6434808842017405</c:v>
                </c:pt>
                <c:pt idx="189">
                  <c:v>4.627244581691162</c:v>
                </c:pt>
                <c:pt idx="190">
                  <c:v>4.6111493461479984</c:v>
                </c:pt>
                <c:pt idx="191">
                  <c:v>4.5951932279616914</c:v>
                </c:pt>
                <c:pt idx="192">
                  <c:v>4.5793743143602912</c:v>
                </c:pt>
                <c:pt idx="193">
                  <c:v>4.5636907285294228</c:v>
                </c:pt>
                <c:pt idx="194">
                  <c:v>4.5481406287567925</c:v>
                </c:pt>
                <c:pt idx="195">
                  <c:v>4.5327222076011857</c:v>
                </c:pt>
                <c:pt idx="196">
                  <c:v>4.5174336910852828</c:v>
                </c:pt>
                <c:pt idx="197">
                  <c:v>4.5022733379114159</c:v>
                </c:pt>
                <c:pt idx="198">
                  <c:v>4.4872394386995103</c:v>
                </c:pt>
                <c:pt idx="199">
                  <c:v>4.4723303152465217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32B-4A77-8C48-42565A2FC082}"/>
            </c:ext>
          </c:extLst>
        </c:ser>
        <c:ser>
          <c:idx val="3"/>
          <c:order val="3"/>
          <c:tx>
            <c:strRef>
              <c:f>Data!$E$1</c:f>
              <c:strCache>
                <c:ptCount val="1"/>
                <c:pt idx="0">
                  <c:v>Slope° 50 kn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Data!$A$2:$A$201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Data!$E$2:$E$201</c:f>
              <c:numCache>
                <c:formatCode>0.00</c:formatCode>
                <c:ptCount val="200"/>
                <c:pt idx="0">
                  <c:v>33.426033878058803</c:v>
                </c:pt>
                <c:pt idx="1">
                  <c:v>38.819096991893225</c:v>
                </c:pt>
                <c:pt idx="2">
                  <c:v>41.169356640448349</c:v>
                </c:pt>
                <c:pt idx="3">
                  <c:v>42.002269800046598</c:v>
                </c:pt>
                <c:pt idx="4">
                  <c:v>41.925810045668612</c:v>
                </c:pt>
                <c:pt idx="5">
                  <c:v>41.279501046868333</c:v>
                </c:pt>
                <c:pt idx="6">
                  <c:v>40.282354247876903</c:v>
                </c:pt>
                <c:pt idx="7">
                  <c:v>39.083514726781047</c:v>
                </c:pt>
                <c:pt idx="8">
                  <c:v>37.785377657777588</c:v>
                </c:pt>
                <c:pt idx="9">
                  <c:v>36.457055463868244</c:v>
                </c:pt>
                <c:pt idx="10">
                  <c:v>35.143644044970685</c:v>
                </c:pt>
                <c:pt idx="11">
                  <c:v>33.8731009913257</c:v>
                </c:pt>
                <c:pt idx="12">
                  <c:v>32.661428087390462</c:v>
                </c:pt>
                <c:pt idx="13">
                  <c:v>31.516522240763834</c:v>
                </c:pt>
                <c:pt idx="14">
                  <c:v>30.440968044122123</c:v>
                </c:pt>
                <c:pt idx="15">
                  <c:v>29.434009100185133</c:v>
                </c:pt>
                <c:pt idx="16">
                  <c:v>28.492902729257139</c:v>
                </c:pt>
                <c:pt idx="17">
                  <c:v>27.613826212419365</c:v>
                </c:pt>
                <c:pt idx="18">
                  <c:v>26.792465963381336</c:v>
                </c:pt>
                <c:pt idx="19">
                  <c:v>26.024388033341268</c:v>
                </c:pt>
                <c:pt idx="20">
                  <c:v>25.3052611835565</c:v>
                </c:pt>
                <c:pt idx="21">
                  <c:v>24.630982708234061</c:v>
                </c:pt>
                <c:pt idx="22">
                  <c:v>23.99774158020875</c:v>
                </c:pt>
                <c:pt idx="23">
                  <c:v>23.402042286475538</c:v>
                </c:pt>
                <c:pt idx="24">
                  <c:v>22.840704872942666</c:v>
                </c:pt>
                <c:pt idx="25">
                  <c:v>22.310851327451861</c:v>
                </c:pt>
                <c:pt idx="26">
                  <c:v>21.809884786845775</c:v>
                </c:pt>
                <c:pt idx="27">
                  <c:v>21.335465626235386</c:v>
                </c:pt>
                <c:pt idx="28">
                  <c:v>20.885486892919101</c:v>
                </c:pt>
                <c:pt idx="29">
                  <c:v>20.45805051340129</c:v>
                </c:pt>
                <c:pt idx="30">
                  <c:v>20.051445042792093</c:v>
                </c:pt>
                <c:pt idx="31">
                  <c:v>19.664125314133763</c:v>
                </c:pt>
                <c:pt idx="32">
                  <c:v>19.294694094993829</c:v>
                </c:pt>
                <c:pt idx="33">
                  <c:v>18.941885712634878</c:v>
                </c:pt>
                <c:pt idx="34">
                  <c:v>18.604551529252131</c:v>
                </c:pt>
                <c:pt idx="35">
                  <c:v>18.28164711025811</c:v>
                </c:pt>
                <c:pt idx="36">
                  <c:v>17.972220915200694</c:v>
                </c:pt>
                <c:pt idx="37">
                  <c:v>17.675404342223178</c:v>
                </c:pt>
                <c:pt idx="38">
                  <c:v>17.390402966409926</c:v>
                </c:pt>
                <c:pt idx="39">
                  <c:v>17.116488825799951</c:v>
                </c:pt>
                <c:pt idx="40">
                  <c:v>16.852993623787913</c:v>
                </c:pt>
                <c:pt idx="41">
                  <c:v>16.599302731602613</c:v>
                </c:pt>
                <c:pt idx="42">
                  <c:v>16.354849888741942</c:v>
                </c:pt>
                <c:pt idx="43">
                  <c:v>16.119112512244754</c:v>
                </c:pt>
                <c:pt idx="44">
                  <c:v>15.891607537335551</c:v>
                </c:pt>
                <c:pt idx="45">
                  <c:v>15.671887722273814</c:v>
                </c:pt>
                <c:pt idx="46">
                  <c:v>15.459538359244661</c:v>
                </c:pt>
                <c:pt idx="47">
                  <c:v>15.254174340947996</c:v>
                </c:pt>
                <c:pt idx="48">
                  <c:v>15.055437539305144</c:v>
                </c:pt>
                <c:pt idx="49">
                  <c:v>14.862994458530455</c:v>
                </c:pt>
                <c:pt idx="50">
                  <c:v>14.676534129830445</c:v>
                </c:pt>
                <c:pt idx="51">
                  <c:v>14.49576621930489</c:v>
                </c:pt>
                <c:pt idx="52">
                  <c:v>14.320419324331013</c:v>
                </c:pt>
                <c:pt idx="53">
                  <c:v>14.150239436899824</c:v>
                </c:pt>
                <c:pt idx="54">
                  <c:v>13.984988555116505</c:v>
                </c:pt>
                <c:pt idx="55">
                  <c:v>13.824443426441418</c:v>
                </c:pt>
                <c:pt idx="56">
                  <c:v>13.66839440828744</c:v>
                </c:pt>
                <c:pt idx="57">
                  <c:v>13.51664443335182</c:v>
                </c:pt>
                <c:pt idx="58">
                  <c:v>13.369008068586435</c:v>
                </c:pt>
                <c:pt idx="59">
                  <c:v>13.225310658032686</c:v>
                </c:pt>
                <c:pt idx="60">
                  <c:v>13.085387540896393</c:v>
                </c:pt>
                <c:pt idx="61">
                  <c:v>12.949083337237754</c:v>
                </c:pt>
                <c:pt idx="62">
                  <c:v>12.8162512945229</c:v>
                </c:pt>
                <c:pt idx="63">
                  <c:v>12.686752689045324</c:v>
                </c:pt>
                <c:pt idx="64">
                  <c:v>12.560456276891152</c:v>
                </c:pt>
                <c:pt idx="65">
                  <c:v>12.437237789706789</c:v>
                </c:pt>
                <c:pt idx="66">
                  <c:v>12.316979471040133</c:v>
                </c:pt>
                <c:pt idx="67">
                  <c:v>12.199569649478049</c:v>
                </c:pt>
                <c:pt idx="68">
                  <c:v>12.084902345200453</c:v>
                </c:pt>
                <c:pt idx="69">
                  <c:v>11.972876906922881</c:v>
                </c:pt>
                <c:pt idx="70">
                  <c:v>11.863397676509685</c:v>
                </c:pt>
                <c:pt idx="71">
                  <c:v>11.756373678815294</c:v>
                </c:pt>
                <c:pt idx="72">
                  <c:v>11.651718334555607</c:v>
                </c:pt>
                <c:pt idx="73">
                  <c:v>11.549349194227542</c:v>
                </c:pt>
                <c:pt idx="74">
                  <c:v>11.449187691289151</c:v>
                </c:pt>
                <c:pt idx="75">
                  <c:v>11.351158912983779</c:v>
                </c:pt>
                <c:pt idx="76">
                  <c:v>11.255191387346235</c:v>
                </c:pt>
                <c:pt idx="77">
                  <c:v>11.161216885065819</c:v>
                </c:pt>
                <c:pt idx="78">
                  <c:v>11.069170235004442</c:v>
                </c:pt>
                <c:pt idx="79">
                  <c:v>10.978989152278034</c:v>
                </c:pt>
                <c:pt idx="80">
                  <c:v>10.89061407790865</c:v>
                </c:pt>
                <c:pt idx="81">
                  <c:v>10.80398802914373</c:v>
                </c:pt>
                <c:pt idx="82">
                  <c:v>10.719056459618511</c:v>
                </c:pt>
                <c:pt idx="83">
                  <c:v>10.635767128610778</c:v>
                </c:pt>
                <c:pt idx="84">
                  <c:v>10.554069978701076</c:v>
                </c:pt>
                <c:pt idx="85">
                  <c:v>10.473917021211175</c:v>
                </c:pt>
                <c:pt idx="86">
                  <c:v>10.395262228846468</c:v>
                </c:pt>
                <c:pt idx="87">
                  <c:v>10.318061435015952</c:v>
                </c:pt>
                <c:pt idx="88">
                  <c:v>10.242272239347633</c:v>
                </c:pt>
                <c:pt idx="89">
                  <c:v>10.167853918955938</c:v>
                </c:pt>
                <c:pt idx="90">
                  <c:v>10.094767345054724</c:v>
                </c:pt>
                <c:pt idx="91">
                  <c:v>10.022974904541316</c:v>
                </c:pt>
                <c:pt idx="92">
                  <c:v>9.9524404262071577</c:v>
                </c:pt>
                <c:pt idx="93">
                  <c:v>9.8831291112579347</c:v>
                </c:pt>
                <c:pt idx="94">
                  <c:v>9.8150074678503412</c:v>
                </c:pt>
                <c:pt idx="95">
                  <c:v>9.7480432493755558</c:v>
                </c:pt>
                <c:pt idx="96">
                  <c:v>9.6822053962402759</c:v>
                </c:pt>
                <c:pt idx="97">
                  <c:v>9.617463980914291</c:v>
                </c:pt>
                <c:pt idx="98">
                  <c:v>9.5537901560320471</c:v>
                </c:pt>
                <c:pt idx="99">
                  <c:v>9.4911561053501927</c:v>
                </c:pt>
                <c:pt idx="100">
                  <c:v>9.4295349973785392</c:v>
                </c:pt>
                <c:pt idx="101">
                  <c:v>9.3689009415149052</c:v>
                </c:pt>
                <c:pt idx="102">
                  <c:v>9.3092289465263125</c:v>
                </c:pt>
                <c:pt idx="103">
                  <c:v>9.2504948812305905</c:v>
                </c:pt>
                <c:pt idx="104">
                  <c:v>9.1926754372427091</c:v>
                </c:pt>
                <c:pt idx="105">
                  <c:v>9.1357480936594317</c:v>
                </c:pt>
                <c:pt idx="106">
                  <c:v>9.0796910835650859</c:v>
                </c:pt>
                <c:pt idx="107">
                  <c:v>9.0244833622490166</c:v>
                </c:pt>
                <c:pt idx="108">
                  <c:v>8.9701045770328456</c:v>
                </c:pt>
                <c:pt idx="109">
                  <c:v>8.9165350386126452</c:v>
                </c:pt>
                <c:pt idx="110">
                  <c:v>8.8637556938274304</c:v>
                </c:pt>
                <c:pt idx="111">
                  <c:v>8.8117480997712594</c:v>
                </c:pt>
                <c:pt idx="112">
                  <c:v>8.7604943991717228</c:v>
                </c:pt>
                <c:pt idx="113">
                  <c:v>8.7099772969627001</c:v>
                </c:pt>
                <c:pt idx="114">
                  <c:v>8.6601800379838547</c:v>
                </c:pt>
                <c:pt idx="115">
                  <c:v>8.6110863857437483</c:v>
                </c:pt>
                <c:pt idx="116">
                  <c:v>8.5626806021874184</c:v>
                </c:pt>
                <c:pt idx="117">
                  <c:v>8.5149474284131497</c:v>
                </c:pt>
                <c:pt idx="118">
                  <c:v>8.467872066286434</c:v>
                </c:pt>
                <c:pt idx="119">
                  <c:v>8.4214401609025504</c:v>
                </c:pt>
                <c:pt idx="120">
                  <c:v>8.3756377838520315</c:v>
                </c:pt>
                <c:pt idx="121">
                  <c:v>8.3304514172462945</c:v>
                </c:pt>
                <c:pt idx="122">
                  <c:v>8.2858679384629976</c:v>
                </c:pt>
                <c:pt idx="123">
                  <c:v>8.2418746055735106</c:v>
                </c:pt>
                <c:pt idx="124">
                  <c:v>8.1984590434167934</c:v>
                </c:pt>
                <c:pt idx="125">
                  <c:v>8.1556092302863092</c:v>
                </c:pt>
                <c:pt idx="126">
                  <c:v>8.1133134851985282</c:v>
                </c:pt>
                <c:pt idx="127">
                  <c:v>8.0715604557132945</c:v>
                </c:pt>
                <c:pt idx="128">
                  <c:v>8.0303391062782783</c:v>
                </c:pt>
                <c:pt idx="129">
                  <c:v>7.9896387070711361</c:v>
                </c:pt>
                <c:pt idx="130">
                  <c:v>7.9494488233145981</c:v>
                </c:pt>
                <c:pt idx="131">
                  <c:v>7.9097593050411117</c:v>
                </c:pt>
                <c:pt idx="132">
                  <c:v>7.8705602772849943</c:v>
                </c:pt>
                <c:pt idx="133">
                  <c:v>7.8318421306811592</c:v>
                </c:pt>
                <c:pt idx="134">
                  <c:v>7.7935955124509988</c:v>
                </c:pt>
                <c:pt idx="135">
                  <c:v>7.7558113177564438</c:v>
                </c:pt>
                <c:pt idx="136">
                  <c:v>7.7184806814050226</c:v>
                </c:pt>
                <c:pt idx="137">
                  <c:v>7.6815949698890611</c:v>
                </c:pt>
                <c:pt idx="138">
                  <c:v>7.645145773743419</c:v>
                </c:pt>
                <c:pt idx="139">
                  <c:v>7.6091249002067931</c:v>
                </c:pt>
                <c:pt idx="140">
                  <c:v>7.573524366172669</c:v>
                </c:pt>
                <c:pt idx="141">
                  <c:v>7.5383363914163812</c:v>
                </c:pt>
                <c:pt idx="142">
                  <c:v>7.5035533920858457</c:v>
                </c:pt>
                <c:pt idx="143">
                  <c:v>7.4691679744438222</c:v>
                </c:pt>
                <c:pt idx="144">
                  <c:v>7.4351729288504851</c:v>
                </c:pt>
                <c:pt idx="145">
                  <c:v>7.4015612239754685</c:v>
                </c:pt>
                <c:pt idx="146">
                  <c:v>7.3683260012291329</c:v>
                </c:pt>
                <c:pt idx="147">
                  <c:v>7.3354605694034598</c:v>
                </c:pt>
                <c:pt idx="148">
                  <c:v>7.3029583995132619</c:v>
                </c:pt>
                <c:pt idx="149">
                  <c:v>7.270813119829028</c:v>
                </c:pt>
                <c:pt idx="150">
                  <c:v>7.2390185110930521</c:v>
                </c:pt>
                <c:pt idx="151">
                  <c:v>7.2075685019109814</c:v>
                </c:pt>
                <c:pt idx="152">
                  <c:v>7.1764571643112225</c:v>
                </c:pt>
                <c:pt idx="153">
                  <c:v>7.1456787094651384</c:v>
                </c:pt>
                <c:pt idx="154">
                  <c:v>7.1152274835611395</c:v>
                </c:pt>
                <c:pt idx="155">
                  <c:v>7.0850979638263283</c:v>
                </c:pt>
                <c:pt idx="156">
                  <c:v>7.0552847546893691</c:v>
                </c:pt>
                <c:pt idx="157">
                  <c:v>7.025782584078943</c:v>
                </c:pt>
                <c:pt idx="158">
                  <c:v>6.9965862998519155</c:v>
                </c:pt>
                <c:pt idx="159">
                  <c:v>6.9676908663462305</c:v>
                </c:pt>
                <c:pt idx="160">
                  <c:v>6.9390913610531362</c:v>
                </c:pt>
                <c:pt idx="161">
                  <c:v>6.9107829714041058</c:v>
                </c:pt>
                <c:pt idx="162">
                  <c:v>6.882760991667797</c:v>
                </c:pt>
                <c:pt idx="163">
                  <c:v>6.8550208199525811</c:v>
                </c:pt>
                <c:pt idx="164">
                  <c:v>6.8275579553105432</c:v>
                </c:pt>
                <c:pt idx="165">
                  <c:v>6.8003679949388633</c:v>
                </c:pt>
                <c:pt idx="166">
                  <c:v>6.7734466314747754</c:v>
                </c:pt>
                <c:pt idx="167">
                  <c:v>6.7467896503804647</c:v>
                </c:pt>
                <c:pt idx="168">
                  <c:v>6.7203929274143892</c:v>
                </c:pt>
                <c:pt idx="169">
                  <c:v>6.6942524261856642</c:v>
                </c:pt>
                <c:pt idx="170">
                  <c:v>6.6683641957884108</c:v>
                </c:pt>
                <c:pt idx="171">
                  <c:v>6.6427243685128943</c:v>
                </c:pt>
                <c:pt idx="172">
                  <c:v>6.617329157630615</c:v>
                </c:pt>
                <c:pt idx="173">
                  <c:v>6.5921748552505299</c:v>
                </c:pt>
                <c:pt idx="174">
                  <c:v>6.5672578302437525</c:v>
                </c:pt>
                <c:pt idx="175">
                  <c:v>6.5425745262341808</c:v>
                </c:pt>
                <c:pt idx="176">
                  <c:v>6.5181214596525372</c:v>
                </c:pt>
                <c:pt idx="177">
                  <c:v>6.4938952178515796</c:v>
                </c:pt>
                <c:pt idx="178">
                  <c:v>6.4698924572801708</c:v>
                </c:pt>
                <c:pt idx="179">
                  <c:v>6.4461099017140651</c:v>
                </c:pt>
                <c:pt idx="180">
                  <c:v>6.4225443405413793</c:v>
                </c:pt>
                <c:pt idx="181">
                  <c:v>6.3991926271007324</c:v>
                </c:pt>
                <c:pt idx="182">
                  <c:v>6.376051677070218</c:v>
                </c:pt>
                <c:pt idx="183">
                  <c:v>6.353118466905304</c:v>
                </c:pt>
                <c:pt idx="184">
                  <c:v>6.330390032324007</c:v>
                </c:pt>
                <c:pt idx="185">
                  <c:v>6.3078634668376683</c:v>
                </c:pt>
                <c:pt idx="186">
                  <c:v>6.2855359203256063</c:v>
                </c:pt>
                <c:pt idx="187">
                  <c:v>6.2634045976522765</c:v>
                </c:pt>
                <c:pt idx="188">
                  <c:v>6.2414667573253562</c:v>
                </c:pt>
                <c:pt idx="189">
                  <c:v>6.2197197101933499</c:v>
                </c:pt>
                <c:pt idx="190">
                  <c:v>6.1981608181813774</c:v>
                </c:pt>
                <c:pt idx="191">
                  <c:v>6.1767874930638227</c:v>
                </c:pt>
                <c:pt idx="192">
                  <c:v>6.155597195272577</c:v>
                </c:pt>
                <c:pt idx="193">
                  <c:v>6.134587432739691</c:v>
                </c:pt>
                <c:pt idx="194">
                  <c:v>6.1137557597732455</c:v>
                </c:pt>
                <c:pt idx="195">
                  <c:v>6.0930997759653573</c:v>
                </c:pt>
                <c:pt idx="196">
                  <c:v>6.0726171251312389</c:v>
                </c:pt>
                <c:pt idx="197">
                  <c:v>6.0523054942782331</c:v>
                </c:pt>
                <c:pt idx="198">
                  <c:v>6.032162612603873</c:v>
                </c:pt>
                <c:pt idx="199">
                  <c:v>6.0121862505220776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32B-4A77-8C48-42565A2FC0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4051103"/>
        <c:axId val="1424044383"/>
      </c:scatterChart>
      <c:valAx>
        <c:axId val="1424051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044383"/>
        <c:crosses val="autoZero"/>
        <c:crossBetween val="midCat"/>
      </c:valAx>
      <c:valAx>
        <c:axId val="1424044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0511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20 kn</c:v>
          </c:tx>
          <c:spPr>
            <a:ln w="248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Data!$B$1:$B$201</c:f>
              <c:numCache>
                <c:formatCode>0.00</c:formatCode>
                <c:ptCount val="201"/>
                <c:pt idx="0" formatCode="General">
                  <c:v>0</c:v>
                </c:pt>
                <c:pt idx="1">
                  <c:v>41.056315043289445</c:v>
                </c:pt>
                <c:pt idx="2">
                  <c:v>33.259259537826686</c:v>
                </c:pt>
                <c:pt idx="3">
                  <c:v>26.992638058013661</c:v>
                </c:pt>
                <c:pt idx="4">
                  <c:v>22.840704872942673</c:v>
                </c:pt>
                <c:pt idx="5">
                  <c:v>19.952864047172252</c:v>
                </c:pt>
                <c:pt idx="6">
                  <c:v>17.822287720854124</c:v>
                </c:pt>
                <c:pt idx="7">
                  <c:v>16.177256838109766</c:v>
                </c:pt>
                <c:pt idx="8">
                  <c:v>14.862994458530455</c:v>
                </c:pt>
                <c:pt idx="9">
                  <c:v>13.78501756684269</c:v>
                </c:pt>
                <c:pt idx="10">
                  <c:v>12.882242147505901</c:v>
                </c:pt>
                <c:pt idx="11">
                  <c:v>12.11331765246023</c:v>
                </c:pt>
                <c:pt idx="12">
                  <c:v>11.449187691289149</c:v>
                </c:pt>
                <c:pt idx="13">
                  <c:v>10.868795765885501</c:v>
                </c:pt>
                <c:pt idx="14">
                  <c:v>10.356482772466547</c:v>
                </c:pt>
                <c:pt idx="15">
                  <c:v>9.9003441217558574</c:v>
                </c:pt>
                <c:pt idx="16">
                  <c:v>9.4911561053501927</c:v>
                </c:pt>
                <c:pt idx="17">
                  <c:v>9.1216530815350865</c:v>
                </c:pt>
                <c:pt idx="18">
                  <c:v>8.7860281066410764</c:v>
                </c:pt>
                <c:pt idx="19">
                  <c:v>8.4795800294246924</c:v>
                </c:pt>
                <c:pt idx="20">
                  <c:v>8.1984590434167952</c:v>
                </c:pt>
                <c:pt idx="21">
                  <c:v>7.9394799248490759</c:v>
                </c:pt>
                <c:pt idx="22">
                  <c:v>7.6999827407977328</c:v>
                </c:pt>
                <c:pt idx="23">
                  <c:v>7.4777274529392059</c:v>
                </c:pt>
                <c:pt idx="24">
                  <c:v>7.2708131198290289</c:v>
                </c:pt>
                <c:pt idx="25">
                  <c:v>7.0776152154465048</c:v>
                </c:pt>
                <c:pt idx="26">
                  <c:v>6.8967364703144076</c:v>
                </c:pt>
                <c:pt idx="27">
                  <c:v>6.7269679311753583</c:v>
                </c:pt>
                <c:pt idx="28">
                  <c:v>6.567257830243749</c:v>
                </c:pt>
                <c:pt idx="29">
                  <c:v>6.4166864854908487</c:v>
                </c:pt>
                <c:pt idx="30">
                  <c:v>6.2744459035941764</c:v>
                </c:pt>
                <c:pt idx="31">
                  <c:v>6.1398230827234048</c:v>
                </c:pt>
                <c:pt idx="32">
                  <c:v>6.0121862505220784</c:v>
                </c:pt>
                <c:pt idx="33">
                  <c:v>5.8909734488283885</c:v>
                </c:pt>
                <c:pt idx="34">
                  <c:v>5.7756830083288095</c:v>
                </c:pt>
                <c:pt idx="35">
                  <c:v>5.6658655556517505</c:v>
                </c:pt>
                <c:pt idx="36">
                  <c:v>5.5611172709955525</c:v>
                </c:pt>
                <c:pt idx="37">
                  <c:v>5.4610741723980043</c:v>
                </c:pt>
                <c:pt idx="38">
                  <c:v>5.3654072476287684</c:v>
                </c:pt>
                <c:pt idx="39">
                  <c:v>5.2738182896561376</c:v>
                </c:pt>
                <c:pt idx="40">
                  <c:v>5.1860363190816603</c:v>
                </c:pt>
                <c:pt idx="41">
                  <c:v>5.1018144986137086</c:v>
                </c:pt>
                <c:pt idx="42">
                  <c:v>5.0209274618824109</c:v>
                </c:pt>
                <c:pt idx="43">
                  <c:v>4.9431689926766085</c:v>
                </c:pt>
                <c:pt idx="44">
                  <c:v>4.8683500017633312</c:v>
                </c:pt>
                <c:pt idx="45">
                  <c:v>4.7962967574070436</c:v>
                </c:pt>
                <c:pt idx="46">
                  <c:v>4.726849332984818</c:v>
                </c:pt>
                <c:pt idx="47">
                  <c:v>4.6598602410361796</c:v>
                </c:pt>
                <c:pt idx="48">
                  <c:v>4.5951932279616914</c:v>
                </c:pt>
                <c:pt idx="49">
                  <c:v>4.5327222076011857</c:v>
                </c:pt>
                <c:pt idx="50">
                  <c:v>4.4723303152465217</c:v>
                </c:pt>
                <c:pt idx="51">
                  <c:v>4.4139090664050027</c:v>
                </c:pt>
                <c:pt idx="52">
                  <c:v>4.3573576069329043</c:v>
                </c:pt>
                <c:pt idx="53">
                  <c:v>4.3025820430866482</c:v>
                </c:pt>
                <c:pt idx="54">
                  <c:v>4.2494948416591205</c:v>
                </c:pt>
                <c:pt idx="55">
                  <c:v>4.1980142917340677</c:v>
                </c:pt>
                <c:pt idx="56">
                  <c:v>4.1480640207469621</c:v>
                </c:pt>
                <c:pt idx="57">
                  <c:v>4.0995725585203893</c:v>
                </c:pt>
                <c:pt idx="58">
                  <c:v>4.0524729437766336</c:v>
                </c:pt>
                <c:pt idx="59">
                  <c:v>4.0067023683417844</c:v>
                </c:pt>
                <c:pt idx="60">
                  <c:v>3.9622018548656328</c:v>
                </c:pt>
                <c:pt idx="61">
                  <c:v>3.9189159644045288</c:v>
                </c:pt>
                <c:pt idx="62">
                  <c:v>3.8767925306649995</c:v>
                </c:pt>
                <c:pt idx="63">
                  <c:v>3.8357824180942597</c:v>
                </c:pt>
                <c:pt idx="64">
                  <c:v>3.7958393013400267</c:v>
                </c:pt>
                <c:pt idx="65">
                  <c:v>3.756919463893384</c:v>
                </c:pt>
                <c:pt idx="66">
                  <c:v>3.7189816139818399</c:v>
                </c:pt>
                <c:pt idx="67">
                  <c:v>3.6819867160001065</c:v>
                </c:pt>
                <c:pt idx="68">
                  <c:v>3.6458978359589831</c:v>
                </c:pt>
                <c:pt idx="69">
                  <c:v>3.6106799996009209</c:v>
                </c:pt>
                <c:pt idx="70">
                  <c:v>3.5763000619786158</c:v>
                </c:pt>
                <c:pt idx="71">
                  <c:v>3.5427265874226039</c:v>
                </c:pt>
                <c:pt idx="72">
                  <c:v>3.5099297389380175</c:v>
                </c:pt>
                <c:pt idx="73">
                  <c:v>3.4778811761710493</c:v>
                </c:pt>
                <c:pt idx="74">
                  <c:v>3.4465539611747165</c:v>
                </c:pt>
                <c:pt idx="75">
                  <c:v>3.4159224712819998</c:v>
                </c:pt>
                <c:pt idx="76">
                  <c:v>3.385962318464109</c:v>
                </c:pt>
                <c:pt idx="77">
                  <c:v>3.3566502746134135</c:v>
                </c:pt>
                <c:pt idx="78">
                  <c:v>3.3279642022456288</c:v>
                </c:pt>
                <c:pt idx="79">
                  <c:v>3.2998829901647402</c:v>
                </c:pt>
                <c:pt idx="80">
                  <c:v>3.2723864936778346</c:v>
                </c:pt>
                <c:pt idx="81">
                  <c:v>3.2454554789860048</c:v>
                </c:pt>
                <c:pt idx="82">
                  <c:v>3.2190715714123588</c:v>
                </c:pt>
                <c:pt idx="83">
                  <c:v>3.1932172071595373</c:v>
                </c:pt>
                <c:pt idx="84">
                  <c:v>3.1678755883168974</c:v>
                </c:pt>
                <c:pt idx="85">
                  <c:v>3.1430306408630573</c:v>
                </c:pt>
                <c:pt idx="86">
                  <c:v>3.1186669754319056</c:v>
                </c:pt>
                <c:pt idx="87">
                  <c:v>3.0947698506305668</c:v>
                </c:pt>
                <c:pt idx="88">
                  <c:v>3.0713251387164093</c:v>
                </c:pt>
                <c:pt idx="89">
                  <c:v>3.0483192934565535</c:v>
                </c:pt>
                <c:pt idx="90">
                  <c:v>3.0257393200084439</c:v>
                </c:pt>
                <c:pt idx="91">
                  <c:v>3.003572746673711</c:v>
                </c:pt>
                <c:pt idx="92">
                  <c:v>2.9818075983896648</c:v>
                </c:pt>
                <c:pt idx="93">
                  <c:v>2.9604323718340924</c:v>
                </c:pt>
                <c:pt idx="94">
                  <c:v>2.9394360120290632</c:v>
                </c:pt>
                <c:pt idx="95">
                  <c:v>2.9188078903387011</c:v>
                </c:pt>
                <c:pt idx="96">
                  <c:v>2.8985377837642234</c:v>
                </c:pt>
                <c:pt idx="97">
                  <c:v>2.8786158554472148</c:v>
                </c:pt>
                <c:pt idx="98">
                  <c:v>2.8590326362990464</c:v>
                </c:pt>
                <c:pt idx="99">
                  <c:v>2.8397790076806895</c:v>
                </c:pt>
                <c:pt idx="100">
                  <c:v>2.8208461850629671</c:v>
                </c:pt>
                <c:pt idx="101">
                  <c:v>2.8022257026026356</c:v>
                </c:pt>
                <c:pt idx="102">
                  <c:v>2.7839093985744796</c:v>
                </c:pt>
                <c:pt idx="103">
                  <c:v>2.765889401604082</c:v>
                </c:pt>
                <c:pt idx="104">
                  <c:v>2.7481581176500147</c:v>
                </c:pt>
                <c:pt idx="105">
                  <c:v>2.7307082176878903</c:v>
                </c:pt>
                <c:pt idx="106">
                  <c:v>2.7135326260522352</c:v>
                </c:pt>
                <c:pt idx="107">
                  <c:v>2.6966245093951446</c:v>
                </c:pt>
                <c:pt idx="108">
                  <c:v>2.6799772662238017</c:v>
                </c:pt>
                <c:pt idx="109">
                  <c:v>2.6635845169814059</c:v>
                </c:pt>
                <c:pt idx="110">
                  <c:v>2.6474400946386347</c:v>
                </c:pt>
                <c:pt idx="111">
                  <c:v>2.6315380357650366</c:v>
                </c:pt>
                <c:pt idx="112">
                  <c:v>2.6158725720517557</c:v>
                </c:pt>
                <c:pt idx="113">
                  <c:v>2.6004381222590442</c:v>
                </c:pt>
                <c:pt idx="114">
                  <c:v>2.5852292845636962</c:v>
                </c:pt>
                <c:pt idx="115">
                  <c:v>2.5702408292832981</c:v>
                </c:pt>
                <c:pt idx="116">
                  <c:v>2.555467691955581</c:v>
                </c:pt>
                <c:pt idx="117">
                  <c:v>2.5409049667527346</c:v>
                </c:pt>
                <c:pt idx="118">
                  <c:v>2.5265479002117166</c:v>
                </c:pt>
                <c:pt idx="119">
                  <c:v>2.5123918852629417</c:v>
                </c:pt>
                <c:pt idx="120">
                  <c:v>2.4984324555406658</c:v>
                </c:pt>
                <c:pt idx="121">
                  <c:v>2.4846652799597115</c:v>
                </c:pt>
                <c:pt idx="122">
                  <c:v>2.471086157543867</c:v>
                </c:pt>
                <c:pt idx="123">
                  <c:v>2.4576910124923907</c:v>
                </c:pt>
                <c:pt idx="124">
                  <c:v>2.4444758894718128</c:v>
                </c:pt>
                <c:pt idx="125">
                  <c:v>2.4314369491210339</c:v>
                </c:pt>
                <c:pt idx="126">
                  <c:v>2.4185704637584515</c:v>
                </c:pt>
                <c:pt idx="127">
                  <c:v>2.4058728132804652</c:v>
                </c:pt>
                <c:pt idx="128">
                  <c:v>2.3933404812414913</c:v>
                </c:pt>
                <c:pt idx="129">
                  <c:v>2.3809700511060456</c:v>
                </c:pt>
                <c:pt idx="130">
                  <c:v>2.3687582026640679</c:v>
                </c:pt>
                <c:pt idx="131">
                  <c:v>2.3567017086012583</c:v>
                </c:pt>
                <c:pt idx="132">
                  <c:v>2.3447974312165125</c:v>
                </c:pt>
                <c:pt idx="133">
                  <c:v>2.3330423192791794</c:v>
                </c:pt>
                <c:pt idx="134">
                  <c:v>2.3214334050190923</c:v>
                </c:pt>
                <c:pt idx="135">
                  <c:v>2.3099678012429177</c:v>
                </c:pt>
                <c:pt idx="136">
                  <c:v>2.2986426985705464</c:v>
                </c:pt>
                <c:pt idx="137">
                  <c:v>2.2874553627857543</c:v>
                </c:pt>
                <c:pt idx="138">
                  <c:v>2.2764031322956049</c:v>
                </c:pt>
                <c:pt idx="139">
                  <c:v>2.2654834156933199</c:v>
                </c:pt>
                <c:pt idx="140">
                  <c:v>2.254693689419796</c:v>
                </c:pt>
                <c:pt idx="141">
                  <c:v>2.2440314955190246</c:v>
                </c:pt>
                <c:pt idx="142">
                  <c:v>2.2334944394830436</c:v>
                </c:pt>
                <c:pt idx="143">
                  <c:v>2.2230801881822462</c:v>
                </c:pt>
                <c:pt idx="144">
                  <c:v>2.212786467877073</c:v>
                </c:pt>
                <c:pt idx="145">
                  <c:v>2.2026110623074211</c:v>
                </c:pt>
                <c:pt idx="146">
                  <c:v>2.1925518108561057</c:v>
                </c:pt>
                <c:pt idx="147">
                  <c:v>2.1826066067831351</c:v>
                </c:pt>
                <c:pt idx="148">
                  <c:v>2.1727733955275403</c:v>
                </c:pt>
                <c:pt idx="149">
                  <c:v>2.1630501730737457</c:v>
                </c:pt>
                <c:pt idx="150">
                  <c:v>2.1534349843796572</c:v>
                </c:pt>
                <c:pt idx="151">
                  <c:v>2.1439259218636755</c:v>
                </c:pt>
                <c:pt idx="152">
                  <c:v>2.1345211239481294</c:v>
                </c:pt>
                <c:pt idx="153">
                  <c:v>2.1252187736565915</c:v>
                </c:pt>
                <c:pt idx="154">
                  <c:v>2.1160170972628172</c:v>
                </c:pt>
                <c:pt idx="155">
                  <c:v>2.1069143629890399</c:v>
                </c:pt>
                <c:pt idx="156">
                  <c:v>2.0979088797515284</c:v>
                </c:pt>
                <c:pt idx="157">
                  <c:v>2.0889989959514206</c:v>
                </c:pt>
                <c:pt idx="158">
                  <c:v>2.0801830983088752</c:v>
                </c:pt>
                <c:pt idx="159">
                  <c:v>2.0714596107387933</c:v>
                </c:pt>
                <c:pt idx="160">
                  <c:v>2.0628269932663024</c:v>
                </c:pt>
                <c:pt idx="161">
                  <c:v>2.0542837409804329</c:v>
                </c:pt>
                <c:pt idx="162">
                  <c:v>2.0458283830243622</c:v>
                </c:pt>
                <c:pt idx="163">
                  <c:v>2.037459481620735</c:v>
                </c:pt>
                <c:pt idx="164">
                  <c:v>2.0291756311306939</c:v>
                </c:pt>
                <c:pt idx="165">
                  <c:v>2.0209754571451573</c:v>
                </c:pt>
                <c:pt idx="166">
                  <c:v>2.0128576156071416</c:v>
                </c:pt>
                <c:pt idx="167">
                  <c:v>2.0048207919638581</c:v>
                </c:pt>
                <c:pt idx="168">
                  <c:v>1.9968637003473693</c:v>
                </c:pt>
                <c:pt idx="169">
                  <c:v>1.9889850827827369</c:v>
                </c:pt>
                <c:pt idx="170">
                  <c:v>1.9811837084225536</c:v>
                </c:pt>
                <c:pt idx="171">
                  <c:v>1.973458372806798</c:v>
                </c:pt>
                <c:pt idx="172">
                  <c:v>1.9658078971471171</c:v>
                </c:pt>
                <c:pt idx="173">
                  <c:v>1.9582311276344999</c:v>
                </c:pt>
                <c:pt idx="174">
                  <c:v>1.9507269347695366</c:v>
                </c:pt>
                <c:pt idx="175">
                  <c:v>1.9432942127142907</c:v>
                </c:pt>
                <c:pt idx="176">
                  <c:v>1.9359318786651103</c:v>
                </c:pt>
                <c:pt idx="177">
                  <c:v>1.9286388722454493</c:v>
                </c:pt>
                <c:pt idx="178">
                  <c:v>1.921414154918045</c:v>
                </c:pt>
                <c:pt idx="179">
                  <c:v>1.914256709415693</c:v>
                </c:pt>
                <c:pt idx="180">
                  <c:v>1.907165539189926</c:v>
                </c:pt>
                <c:pt idx="181">
                  <c:v>1.9001396678769644</c:v>
                </c:pt>
                <c:pt idx="182">
                  <c:v>1.89317813878028</c:v>
                </c:pt>
                <c:pt idx="183">
                  <c:v>1.8862800143691669</c:v>
                </c:pt>
                <c:pt idx="184">
                  <c:v>1.8794443757927843</c:v>
                </c:pt>
                <c:pt idx="185">
                  <c:v>1.8726703224090324</c:v>
                </c:pt>
                <c:pt idx="186">
                  <c:v>1.8659569713278295</c:v>
                </c:pt>
                <c:pt idx="187">
                  <c:v>1.859303456968175</c:v>
                </c:pt>
                <c:pt idx="188">
                  <c:v>1.8527089306286004</c:v>
                </c:pt>
                <c:pt idx="189">
                  <c:v>1.8461725600704721</c:v>
                </c:pt>
                <c:pt idx="190">
                  <c:v>1.8396935291137193</c:v>
                </c:pt>
                <c:pt idx="191">
                  <c:v>1.8332710372445762</c:v>
                </c:pt>
                <c:pt idx="192">
                  <c:v>1.826904299234861</c:v>
                </c:pt>
                <c:pt idx="193">
                  <c:v>1.8205925447724611</c:v>
                </c:pt>
                <c:pt idx="194">
                  <c:v>1.8143350181026001</c:v>
                </c:pt>
                <c:pt idx="195">
                  <c:v>1.8081309776795147</c:v>
                </c:pt>
                <c:pt idx="196">
                  <c:v>1.8019796958282153</c:v>
                </c:pt>
                <c:pt idx="197">
                  <c:v>1.7958804584159702</c:v>
                </c:pt>
                <c:pt idx="198">
                  <c:v>1.7898325645331861</c:v>
                </c:pt>
                <c:pt idx="199">
                  <c:v>1.7838353261833668</c:v>
                </c:pt>
                <c:pt idx="200">
                  <c:v>1.7778880679818707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78-4C53-844C-6502BB2B3056}"/>
            </c:ext>
          </c:extLst>
        </c:ser>
        <c:ser>
          <c:idx val="1"/>
          <c:order val="1"/>
          <c:tx>
            <c:v>30 kn</c:v>
          </c:tx>
          <c:spPr>
            <a:ln w="248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Data!$C$1:$C$201</c:f>
              <c:numCache>
                <c:formatCode>0.00</c:formatCode>
                <c:ptCount val="201"/>
                <c:pt idx="0" formatCode="General">
                  <c:v>0</c:v>
                </c:pt>
                <c:pt idx="1">
                  <c:v>40.808862265275565</c:v>
                </c:pt>
                <c:pt idx="2">
                  <c:v>41.62109897927558</c:v>
                </c:pt>
                <c:pt idx="3">
                  <c:v>38.657839174960358</c:v>
                </c:pt>
                <c:pt idx="4">
                  <c:v>34.999975856952275</c:v>
                </c:pt>
                <c:pt idx="5">
                  <c:v>31.640321685003265</c:v>
                </c:pt>
                <c:pt idx="6">
                  <c:v>28.799509218204506</c:v>
                </c:pt>
                <c:pt idx="7">
                  <c:v>26.44478155717837</c:v>
                </c:pt>
                <c:pt idx="8">
                  <c:v>24.486844086298987</c:v>
                </c:pt>
                <c:pt idx="9">
                  <c:v>22.84070487294267</c:v>
                </c:pt>
                <c:pt idx="10">
                  <c:v>21.438709218827402</c:v>
                </c:pt>
                <c:pt idx="11">
                  <c:v>20.229689398769274</c:v>
                </c:pt>
                <c:pt idx="12">
                  <c:v>19.175303319894578</c:v>
                </c:pt>
                <c:pt idx="13">
                  <c:v>18.246617399653779</c:v>
                </c:pt>
                <c:pt idx="14">
                  <c:v>17.421509492431348</c:v>
                </c:pt>
                <c:pt idx="15">
                  <c:v>16.68281289026568</c:v>
                </c:pt>
                <c:pt idx="16">
                  <c:v>16.01701021830258</c:v>
                </c:pt>
                <c:pt idx="17">
                  <c:v>15.413311252975413</c:v>
                </c:pt>
                <c:pt idx="18">
                  <c:v>14.862994458530455</c:v>
                </c:pt>
                <c:pt idx="19">
                  <c:v>14.358930086023365</c:v>
                </c:pt>
                <c:pt idx="20">
                  <c:v>13.895229581895725</c:v>
                </c:pt>
                <c:pt idx="21">
                  <c:v>13.466984082890161</c:v>
                </c:pt>
                <c:pt idx="22">
                  <c:v>13.070066673929727</c:v>
                </c:pt>
                <c:pt idx="23">
                  <c:v>12.700980951557881</c:v>
                </c:pt>
                <c:pt idx="24">
                  <c:v>12.356743683699769</c:v>
                </c:pt>
                <c:pt idx="25">
                  <c:v>12.034792903153662</c:v>
                </c:pt>
                <c:pt idx="26">
                  <c:v>11.73291520293437</c:v>
                </c:pt>
                <c:pt idx="27">
                  <c:v>11.449187691289154</c:v>
                </c:pt>
                <c:pt idx="28">
                  <c:v>11.181931255054659</c:v>
                </c:pt>
                <c:pt idx="29">
                  <c:v>10.929672630330113</c:v>
                </c:pt>
                <c:pt idx="30">
                  <c:v>10.691113394099451</c:v>
                </c:pt>
                <c:pt idx="31">
                  <c:v>10.465104439892281</c:v>
                </c:pt>
                <c:pt idx="32">
                  <c:v>10.250624832789892</c:v>
                </c:pt>
                <c:pt idx="33">
                  <c:v>10.046764187126218</c:v>
                </c:pt>
                <c:pt idx="34">
                  <c:v>9.8527078971883064</c:v>
                </c:pt>
                <c:pt idx="35">
                  <c:v>9.6677246933838319</c:v>
                </c:pt>
                <c:pt idx="36">
                  <c:v>9.4911561053501927</c:v>
                </c:pt>
                <c:pt idx="37">
                  <c:v>9.3224074977206346</c:v>
                </c:pt>
                <c:pt idx="38">
                  <c:v>9.1609404098466509</c:v>
                </c:pt>
                <c:pt idx="39">
                  <c:v>9.0062659821927813</c:v>
                </c:pt>
                <c:pt idx="40">
                  <c:v>8.8579392926967309</c:v>
                </c:pt>
                <c:pt idx="41">
                  <c:v>8.7155544586106171</c:v>
                </c:pt>
                <c:pt idx="42">
                  <c:v>8.5787403850802519</c:v>
                </c:pt>
                <c:pt idx="43">
                  <c:v>8.4471570623992029</c:v>
                </c:pt>
                <c:pt idx="44">
                  <c:v>8.3204923305765668</c:v>
                </c:pt>
                <c:pt idx="45">
                  <c:v>8.1984590434167917</c:v>
                </c:pt>
                <c:pt idx="46">
                  <c:v>8.0807925753712091</c:v>
                </c:pt>
                <c:pt idx="47">
                  <c:v>7.9672486234865429</c:v>
                </c:pt>
                <c:pt idx="48">
                  <c:v>7.8576012642385171</c:v>
                </c:pt>
                <c:pt idx="49">
                  <c:v>7.7516412312086445</c:v>
                </c:pt>
                <c:pt idx="50">
                  <c:v>7.6491743846837172</c:v>
                </c:pt>
                <c:pt idx="51">
                  <c:v>7.5500203485252682</c:v>
                </c:pt>
                <c:pt idx="52">
                  <c:v>7.4540112932265039</c:v>
                </c:pt>
                <c:pt idx="53">
                  <c:v>7.3609908470706191</c:v>
                </c:pt>
                <c:pt idx="54">
                  <c:v>7.270813119829028</c:v>
                </c:pt>
                <c:pt idx="55">
                  <c:v>7.1833418255711718</c:v>
                </c:pt>
                <c:pt idx="56">
                  <c:v>7.0984494929668154</c:v>
                </c:pt>
                <c:pt idx="57">
                  <c:v>7.0160167529996098</c:v>
                </c:pt>
                <c:pt idx="58">
                  <c:v>6.9359316953232382</c:v>
                </c:pt>
                <c:pt idx="59">
                  <c:v>6.8580892856136586</c:v>
                </c:pt>
                <c:pt idx="60">
                  <c:v>6.7823908372338169</c:v>
                </c:pt>
                <c:pt idx="61">
                  <c:v>6.7087435313552799</c:v>
                </c:pt>
                <c:pt idx="62">
                  <c:v>6.6370599803951311</c:v>
                </c:pt>
                <c:pt idx="63">
                  <c:v>6.5672578302437508</c:v>
                </c:pt>
                <c:pt idx="64">
                  <c:v>6.4992593972937582</c:v>
                </c:pt>
                <c:pt idx="65">
                  <c:v>6.4329913367449043</c:v>
                </c:pt>
                <c:pt idx="66">
                  <c:v>6.3683843390640176</c:v>
                </c:pt>
                <c:pt idx="67">
                  <c:v>6.3053728518315069</c:v>
                </c:pt>
                <c:pt idx="68">
                  <c:v>6.2438948245146726</c:v>
                </c:pt>
                <c:pt idx="69">
                  <c:v>6.1838914739776465</c:v>
                </c:pt>
                <c:pt idx="70">
                  <c:v>6.1253070687751299</c:v>
                </c:pt>
                <c:pt idx="71">
                  <c:v>6.0680887304854405</c:v>
                </c:pt>
                <c:pt idx="72">
                  <c:v>6.0121862505220758</c:v>
                </c:pt>
                <c:pt idx="73">
                  <c:v>5.9575519210250052</c:v>
                </c:pt>
                <c:pt idx="74">
                  <c:v>5.9041403785764031</c:v>
                </c:pt>
                <c:pt idx="75">
                  <c:v>5.8519084596122601</c:v>
                </c:pt>
                <c:pt idx="76">
                  <c:v>5.8008150665143043</c:v>
                </c:pt>
                <c:pt idx="77">
                  <c:v>5.7508210434663329</c:v>
                </c:pt>
                <c:pt idx="78">
                  <c:v>5.7018890612484423</c:v>
                </c:pt>
                <c:pt idx="79">
                  <c:v>5.6539835102221296</c:v>
                </c:pt>
                <c:pt idx="80">
                  <c:v>5.6070704008297287</c:v>
                </c:pt>
                <c:pt idx="81">
                  <c:v>5.561117270995549</c:v>
                </c:pt>
                <c:pt idx="82">
                  <c:v>5.5160930998725028</c:v>
                </c:pt>
                <c:pt idx="83">
                  <c:v>5.4719682274290484</c:v>
                </c:pt>
                <c:pt idx="84">
                  <c:v>5.4287142794168588</c:v>
                </c:pt>
                <c:pt idx="85">
                  <c:v>5.3863040973009344</c:v>
                </c:pt>
                <c:pt idx="86">
                  <c:v>5.3447116727703996</c:v>
                </c:pt>
                <c:pt idx="87">
                  <c:v>5.3039120864822307</c:v>
                </c:pt>
                <c:pt idx="88">
                  <c:v>5.2638814507194347</c:v>
                </c:pt>
                <c:pt idx="89">
                  <c:v>5.2245968556730666</c:v>
                </c:pt>
                <c:pt idx="90">
                  <c:v>5.1860363190816603</c:v>
                </c:pt>
                <c:pt idx="91">
                  <c:v>5.1481787389839653</c:v>
                </c:pt>
                <c:pt idx="92">
                  <c:v>5.1110038493611496</c:v>
                </c:pt>
                <c:pt idx="93">
                  <c:v>5.0744921784628421</c:v>
                </c:pt>
                <c:pt idx="94">
                  <c:v>5.0386250096281424</c:v>
                </c:pt>
                <c:pt idx="95">
                  <c:v>5.0033843444276886</c:v>
                </c:pt>
                <c:pt idx="96">
                  <c:v>4.9687528679667894</c:v>
                </c:pt>
                <c:pt idx="97">
                  <c:v>4.9347139162021607</c:v>
                </c:pt>
                <c:pt idx="98">
                  <c:v>4.9012514451362241</c:v>
                </c:pt>
                <c:pt idx="99">
                  <c:v>4.8683500017633303</c:v>
                </c:pt>
                <c:pt idx="100">
                  <c:v>4.8359946966520448</c:v>
                </c:pt>
                <c:pt idx="101">
                  <c:v>4.8041711780560306</c:v>
                </c:pt>
                <c:pt idx="102">
                  <c:v>4.7728656074544729</c:v>
                </c:pt>
                <c:pt idx="103">
                  <c:v>4.7420646364299213</c:v>
                </c:pt>
                <c:pt idx="104">
                  <c:v>4.7117553847985549</c:v>
                </c:pt>
                <c:pt idx="105">
                  <c:v>4.681925419913691</c:v>
                </c:pt>
                <c:pt idx="106">
                  <c:v>4.6525627370692817</c:v>
                </c:pt>
                <c:pt idx="107">
                  <c:v>4.6236557409353116</c:v>
                </c:pt>
                <c:pt idx="108">
                  <c:v>4.5951932279616923</c:v>
                </c:pt>
                <c:pt idx="109">
                  <c:v>4.5671643696918558</c:v>
                </c:pt>
                <c:pt idx="110">
                  <c:v>4.5395586969312056</c:v>
                </c:pt>
                <c:pt idx="111">
                  <c:v>4.5123660847193596</c:v>
                </c:pt>
                <c:pt idx="112">
                  <c:v>4.4855767380586533</c:v>
                </c:pt>
                <c:pt idx="113">
                  <c:v>4.4591811783545099</c:v>
                </c:pt>
                <c:pt idx="114">
                  <c:v>4.4331702305263043</c:v>
                </c:pt>
                <c:pt idx="115">
                  <c:v>4.4075350107500508</c:v>
                </c:pt>
                <c:pt idx="116">
                  <c:v>4.382266914796781</c:v>
                </c:pt>
                <c:pt idx="117">
                  <c:v>4.3573576069329052</c:v>
                </c:pt>
                <c:pt idx="118">
                  <c:v>4.3327990093509108</c:v>
                </c:pt>
                <c:pt idx="119">
                  <c:v>4.308583292100951</c:v>
                </c:pt>
                <c:pt idx="120">
                  <c:v>4.2847028634954434</c:v>
                </c:pt>
                <c:pt idx="121">
                  <c:v>4.261150360960996</c:v>
                </c:pt>
                <c:pt idx="122">
                  <c:v>4.2379186423131667</c:v>
                </c:pt>
                <c:pt idx="123">
                  <c:v>4.2150007774312925</c:v>
                </c:pt>
                <c:pt idx="124">
                  <c:v>4.1923900403120307</c:v>
                </c:pt>
                <c:pt idx="125">
                  <c:v>4.1700799014814702</c:v>
                </c:pt>
                <c:pt idx="126">
                  <c:v>4.1480640207469595</c:v>
                </c:pt>
                <c:pt idx="127">
                  <c:v>4.1263362402708417</c:v>
                </c:pt>
                <c:pt idx="128">
                  <c:v>4.1048905779495346</c:v>
                </c:pt>
                <c:pt idx="129">
                  <c:v>4.0837212210820981</c:v>
                </c:pt>
                <c:pt idx="130">
                  <c:v>4.0628225203136452</c:v>
                </c:pt>
                <c:pt idx="131">
                  <c:v>4.0421889838395728</c:v>
                </c:pt>
                <c:pt idx="132">
                  <c:v>4.0218152718575864</c:v>
                </c:pt>
                <c:pt idx="133">
                  <c:v>4.0016961912550482</c:v>
                </c:pt>
                <c:pt idx="134">
                  <c:v>3.9818266905201316</c:v>
                </c:pt>
                <c:pt idx="135">
                  <c:v>3.9622018548656333</c:v>
                </c:pt>
                <c:pt idx="136">
                  <c:v>3.9428169015551631</c:v>
                </c:pt>
                <c:pt idx="137">
                  <c:v>3.9236671754218939</c:v>
                </c:pt>
                <c:pt idx="138">
                  <c:v>3.9047481445705303</c:v>
                </c:pt>
                <c:pt idx="139">
                  <c:v>3.8860553962538829</c:v>
                </c:pt>
                <c:pt idx="140">
                  <c:v>3.8675846329156096</c:v>
                </c:pt>
                <c:pt idx="141">
                  <c:v>3.8493316683914496</c:v>
                </c:pt>
                <c:pt idx="142">
                  <c:v>3.8312924242614272</c:v>
                </c:pt>
                <c:pt idx="143">
                  <c:v>3.8134629263460722</c:v>
                </c:pt>
                <c:pt idx="144">
                  <c:v>3.7958393013400249</c:v>
                </c:pt>
                <c:pt idx="145">
                  <c:v>3.7784177735766451</c:v>
                </c:pt>
                <c:pt idx="146">
                  <c:v>3.7611946619178229</c:v>
                </c:pt>
                <c:pt idx="147">
                  <c:v>3.7441663767631912</c:v>
                </c:pt>
                <c:pt idx="148">
                  <c:v>3.7273294171734297</c:v>
                </c:pt>
                <c:pt idx="149">
                  <c:v>3.7106803681026252</c:v>
                </c:pt>
                <c:pt idx="150">
                  <c:v>3.6942158977347717</c:v>
                </c:pt>
                <c:pt idx="151">
                  <c:v>3.6779327549199246</c:v>
                </c:pt>
                <c:pt idx="152">
                  <c:v>3.6618277667055397</c:v>
                </c:pt>
                <c:pt idx="153">
                  <c:v>3.6458978359589813</c:v>
                </c:pt>
                <c:pt idx="154">
                  <c:v>3.6301399390772344</c:v>
                </c:pt>
                <c:pt idx="155">
                  <c:v>3.6145511237799632</c:v>
                </c:pt>
                <c:pt idx="156">
                  <c:v>3.5991285069825829</c:v>
                </c:pt>
                <c:pt idx="157">
                  <c:v>3.5838692727457984</c:v>
                </c:pt>
                <c:pt idx="158">
                  <c:v>3.5687706702984165</c:v>
                </c:pt>
                <c:pt idx="159">
                  <c:v>3.5538300121304371</c:v>
                </c:pt>
                <c:pt idx="160">
                  <c:v>3.5390446721534281</c:v>
                </c:pt>
                <c:pt idx="161">
                  <c:v>3.5244120839254842</c:v>
                </c:pt>
                <c:pt idx="162">
                  <c:v>3.509929738938018</c:v>
                </c:pt>
                <c:pt idx="163">
                  <c:v>3.4955951849619935</c:v>
                </c:pt>
                <c:pt idx="164">
                  <c:v>3.4814060244510645</c:v>
                </c:pt>
                <c:pt idx="165">
                  <c:v>3.4673599129994224</c:v>
                </c:pt>
                <c:pt idx="166">
                  <c:v>3.4534545578521008</c:v>
                </c:pt>
                <c:pt idx="167">
                  <c:v>3.4396877164657034</c:v>
                </c:pt>
                <c:pt idx="168">
                  <c:v>3.4260571951175161</c:v>
                </c:pt>
                <c:pt idx="169">
                  <c:v>3.4125608475611147</c:v>
                </c:pt>
                <c:pt idx="170">
                  <c:v>3.399196573726655</c:v>
                </c:pt>
                <c:pt idx="171">
                  <c:v>3.385962318464109</c:v>
                </c:pt>
                <c:pt idx="172">
                  <c:v>3.3728560703277934</c:v>
                </c:pt>
                <c:pt idx="173">
                  <c:v>3.3598758604006029</c:v>
                </c:pt>
                <c:pt idx="174">
                  <c:v>3.3470197611563801</c:v>
                </c:pt>
                <c:pt idx="175">
                  <c:v>3.3342858853590589</c:v>
                </c:pt>
                <c:pt idx="176">
                  <c:v>3.3216723849971785</c:v>
                </c:pt>
                <c:pt idx="177">
                  <c:v>3.3091774502523346</c:v>
                </c:pt>
                <c:pt idx="178">
                  <c:v>3.2967993085004421</c:v>
                </c:pt>
                <c:pt idx="179">
                  <c:v>3.2845362233445257</c:v>
                </c:pt>
                <c:pt idx="180">
                  <c:v>3.2723864936778351</c:v>
                </c:pt>
                <c:pt idx="181">
                  <c:v>3.2603484527762547</c:v>
                </c:pt>
                <c:pt idx="182">
                  <c:v>3.2484204674188786</c:v>
                </c:pt>
                <c:pt idx="183">
                  <c:v>3.2366009370357447</c:v>
                </c:pt>
                <c:pt idx="184">
                  <c:v>3.2248882928817526</c:v>
                </c:pt>
                <c:pt idx="185">
                  <c:v>3.2132809972358043</c:v>
                </c:pt>
                <c:pt idx="186">
                  <c:v>3.201777542624316</c:v>
                </c:pt>
                <c:pt idx="187">
                  <c:v>3.1903764510681407</c:v>
                </c:pt>
                <c:pt idx="188">
                  <c:v>3.1790762733521989</c:v>
                </c:pt>
                <c:pt idx="189">
                  <c:v>3.1678755883168965</c:v>
                </c:pt>
                <c:pt idx="190">
                  <c:v>3.1567730021706444</c:v>
                </c:pt>
                <c:pt idx="191">
                  <c:v>3.1457671478227565</c:v>
                </c:pt>
                <c:pt idx="192">
                  <c:v>3.1348566842359071</c:v>
                </c:pt>
                <c:pt idx="193">
                  <c:v>3.1240402957976388</c:v>
                </c:pt>
                <c:pt idx="194">
                  <c:v>3.1133166917101374</c:v>
                </c:pt>
                <c:pt idx="195">
                  <c:v>3.1026846053977009</c:v>
                </c:pt>
                <c:pt idx="196">
                  <c:v>3.0921427939313064</c:v>
                </c:pt>
                <c:pt idx="197">
                  <c:v>3.0816900374696981</c:v>
                </c:pt>
                <c:pt idx="198">
                  <c:v>3.0713251387164089</c:v>
                </c:pt>
                <c:pt idx="199">
                  <c:v>3.0610469223922281</c:v>
                </c:pt>
                <c:pt idx="200">
                  <c:v>3.0508542347225625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78-4C53-844C-6502BB2B3056}"/>
            </c:ext>
          </c:extLst>
        </c:ser>
        <c:ser>
          <c:idx val="2"/>
          <c:order val="2"/>
          <c:tx>
            <c:v>40 kn</c:v>
          </c:tx>
          <c:spPr>
            <a:ln w="248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Data!$D$1:$D$201</c:f>
              <c:numCache>
                <c:formatCode>0.00</c:formatCode>
                <c:ptCount val="201"/>
                <c:pt idx="0" formatCode="General">
                  <c:v>0</c:v>
                </c:pt>
                <c:pt idx="1">
                  <c:v>37.005145868363186</c:v>
                </c:pt>
                <c:pt idx="2">
                  <c:v>41.339801867569449</c:v>
                </c:pt>
                <c:pt idx="3">
                  <c:v>42.023770707537999</c:v>
                </c:pt>
                <c:pt idx="4">
                  <c:v>41.056315043289445</c:v>
                </c:pt>
                <c:pt idx="5">
                  <c:v>39.318428331052345</c:v>
                </c:pt>
                <c:pt idx="6">
                  <c:v>37.287928036181668</c:v>
                </c:pt>
                <c:pt idx="7">
                  <c:v>35.224697087651052</c:v>
                </c:pt>
                <c:pt idx="8">
                  <c:v>33.259259537826686</c:v>
                </c:pt>
                <c:pt idx="9">
                  <c:v>31.447262725339652</c:v>
                </c:pt>
                <c:pt idx="10">
                  <c:v>29.803723024375707</c:v>
                </c:pt>
                <c:pt idx="11">
                  <c:v>28.32347702783845</c:v>
                </c:pt>
                <c:pt idx="12">
                  <c:v>26.992638058013661</c:v>
                </c:pt>
                <c:pt idx="13">
                  <c:v>25.794600604874439</c:v>
                </c:pt>
                <c:pt idx="14">
                  <c:v>24.712948125011181</c:v>
                </c:pt>
                <c:pt idx="15">
                  <c:v>23.732698385754006</c:v>
                </c:pt>
                <c:pt idx="16">
                  <c:v>22.840704872942673</c:v>
                </c:pt>
                <c:pt idx="17">
                  <c:v>22.025658765377365</c:v>
                </c:pt>
                <c:pt idx="18">
                  <c:v>21.277922537628132</c:v>
                </c:pt>
                <c:pt idx="19">
                  <c:v>20.589309728998014</c:v>
                </c:pt>
                <c:pt idx="20">
                  <c:v>19.952864047172252</c:v>
                </c:pt>
                <c:pt idx="21">
                  <c:v>19.362659775005483</c:v>
                </c:pt>
                <c:pt idx="22">
                  <c:v>18.81363025871434</c:v>
                </c:pt>
                <c:pt idx="23">
                  <c:v>18.301424329639506</c:v>
                </c:pt>
                <c:pt idx="24">
                  <c:v>17.822287720854124</c:v>
                </c:pt>
                <c:pt idx="25">
                  <c:v>17.372965732180205</c:v>
                </c:pt>
                <c:pt idx="26">
                  <c:v>16.950623477080136</c:v>
                </c:pt>
                <c:pt idx="27">
                  <c:v>16.552780471097083</c:v>
                </c:pt>
                <c:pt idx="28">
                  <c:v>16.177256838109766</c:v>
                </c:pt>
                <c:pt idx="29">
                  <c:v>15.822128905489796</c:v>
                </c:pt>
                <c:pt idx="30">
                  <c:v>15.48569239036877</c:v>
                </c:pt>
                <c:pt idx="31">
                  <c:v>15.16643173741538</c:v>
                </c:pt>
                <c:pt idx="32">
                  <c:v>14.862994458530455</c:v>
                </c:pt>
                <c:pt idx="33">
                  <c:v>14.57416955636945</c:v>
                </c:pt>
                <c:pt idx="34">
                  <c:v>14.298869297063666</c:v>
                </c:pt>
                <c:pt idx="35">
                  <c:v>14.036113742474331</c:v>
                </c:pt>
                <c:pt idx="36">
                  <c:v>13.78501756684269</c:v>
                </c:pt>
                <c:pt idx="37">
                  <c:v>13.54477877333524</c:v>
                </c:pt>
                <c:pt idx="38">
                  <c:v>13.314668997918385</c:v>
                </c:pt>
                <c:pt idx="39">
                  <c:v>13.094025145299687</c:v>
                </c:pt>
                <c:pt idx="40">
                  <c:v>12.882242147505901</c:v>
                </c:pt>
                <c:pt idx="41">
                  <c:v>12.678766672491248</c:v>
                </c:pt>
                <c:pt idx="42">
                  <c:v>12.48309163988497</c:v>
                </c:pt>
                <c:pt idx="43">
                  <c:v>12.294751425077205</c:v>
                </c:pt>
                <c:pt idx="44">
                  <c:v>12.11331765246023</c:v>
                </c:pt>
                <c:pt idx="45">
                  <c:v>11.938395494686755</c:v>
                </c:pt>
                <c:pt idx="46">
                  <c:v>11.769620407988288</c:v>
                </c:pt>
                <c:pt idx="47">
                  <c:v>11.606655244468179</c:v>
                </c:pt>
                <c:pt idx="48">
                  <c:v>11.449187691289149</c:v>
                </c:pt>
                <c:pt idx="49">
                  <c:v>11.296927994161372</c:v>
                </c:pt>
                <c:pt idx="50">
                  <c:v>11.149606928785373</c:v>
                </c:pt>
                <c:pt idx="51">
                  <c:v>11.006973989137709</c:v>
                </c:pt>
                <c:pt idx="52">
                  <c:v>10.868795765885501</c:v>
                </c:pt>
                <c:pt idx="53">
                  <c:v>10.734854491925939</c:v>
                </c:pt>
                <c:pt idx="54">
                  <c:v>10.604946735185008</c:v>
                </c:pt>
                <c:pt idx="55">
                  <c:v>10.47888222147364</c:v>
                </c:pt>
                <c:pt idx="56">
                  <c:v>10.356482772466547</c:v>
                </c:pt>
                <c:pt idx="57">
                  <c:v>10.237581345805168</c:v>
                </c:pt>
                <c:pt idx="58">
                  <c:v>10.122021165983098</c:v>
                </c:pt>
                <c:pt idx="59">
                  <c:v>10.009654936095206</c:v>
                </c:pt>
                <c:pt idx="60">
                  <c:v>9.9003441217558574</c:v>
                </c:pt>
                <c:pt idx="61">
                  <c:v>9.7939582995483274</c:v>
                </c:pt>
                <c:pt idx="62">
                  <c:v>9.6903745632812495</c:v>
                </c:pt>
                <c:pt idx="63">
                  <c:v>9.5894769821200381</c:v>
                </c:pt>
                <c:pt idx="64">
                  <c:v>9.4911561053501927</c:v>
                </c:pt>
                <c:pt idx="65">
                  <c:v>9.3953085091281654</c:v>
                </c:pt>
                <c:pt idx="66">
                  <c:v>9.3018363810998643</c:v>
                </c:pt>
                <c:pt idx="67">
                  <c:v>9.2106471392234361</c:v>
                </c:pt>
                <c:pt idx="68">
                  <c:v>9.1216530815350865</c:v>
                </c:pt>
                <c:pt idx="69">
                  <c:v>9.0347710639481562</c:v>
                </c:pt>
                <c:pt idx="70">
                  <c:v>8.9499222034859542</c:v>
                </c:pt>
                <c:pt idx="71">
                  <c:v>8.8670316046218218</c:v>
                </c:pt>
                <c:pt idx="72">
                  <c:v>8.7860281066410764</c:v>
                </c:pt>
                <c:pt idx="73">
                  <c:v>8.7068440501526574</c:v>
                </c:pt>
                <c:pt idx="74">
                  <c:v>8.6294150610675597</c:v>
                </c:pt>
                <c:pt idx="75">
                  <c:v>8.5536798505284946</c:v>
                </c:pt>
                <c:pt idx="76">
                  <c:v>8.4795800294246924</c:v>
                </c:pt>
                <c:pt idx="77">
                  <c:v>8.407059936258074</c:v>
                </c:pt>
                <c:pt idx="78">
                  <c:v>8.3360664772458044</c:v>
                </c:pt>
                <c:pt idx="79">
                  <c:v>8.2665489776496024</c:v>
                </c:pt>
                <c:pt idx="80">
                  <c:v>8.1984590434167952</c:v>
                </c:pt>
                <c:pt idx="81">
                  <c:v>8.1317504323028444</c:v>
                </c:pt>
                <c:pt idx="82">
                  <c:v>8.0663789337207952</c:v>
                </c:pt>
                <c:pt idx="83">
                  <c:v>8.0023022566314417</c:v>
                </c:pt>
                <c:pt idx="84">
                  <c:v>7.9394799248490759</c:v>
                </c:pt>
                <c:pt idx="85">
                  <c:v>7.8778731791931396</c:v>
                </c:pt>
                <c:pt idx="86">
                  <c:v>7.8174448859655028</c:v>
                </c:pt>
                <c:pt idx="87">
                  <c:v>7.758159451278325</c:v>
                </c:pt>
                <c:pt idx="88">
                  <c:v>7.6999827407977328</c:v>
                </c:pt>
                <c:pt idx="89">
                  <c:v>7.6428820045053465</c:v>
                </c:pt>
                <c:pt idx="90">
                  <c:v>7.5868258061130911</c:v>
                </c:pt>
                <c:pt idx="91">
                  <c:v>7.5317839567964731</c:v>
                </c:pt>
                <c:pt idx="92">
                  <c:v>7.4777274529392059</c:v>
                </c:pt>
                <c:pt idx="93">
                  <c:v>7.4246284176068693</c:v>
                </c:pt>
                <c:pt idx="94">
                  <c:v>7.372460045489559</c:v>
                </c:pt>
                <c:pt idx="95">
                  <c:v>7.3211965510746708</c:v>
                </c:pt>
                <c:pt idx="96">
                  <c:v>7.2708131198290289</c:v>
                </c:pt>
                <c:pt idx="97">
                  <c:v>7.2212858621872398</c:v>
                </c:pt>
                <c:pt idx="98">
                  <c:v>7.1725917701585695</c:v>
                </c:pt>
                <c:pt idx="99">
                  <c:v>7.1247086763787335</c:v>
                </c:pt>
                <c:pt idx="100">
                  <c:v>7.0776152154465048</c:v>
                </c:pt>
                <c:pt idx="101">
                  <c:v>7.0312907873965402</c:v>
                </c:pt>
                <c:pt idx="102">
                  <c:v>6.9857155231711383</c:v>
                </c:pt>
                <c:pt idx="103">
                  <c:v>6.9408702519634922</c:v>
                </c:pt>
                <c:pt idx="104">
                  <c:v>6.8967364703144076</c:v>
                </c:pt>
                <c:pt idx="105">
                  <c:v>6.8532963128527351</c:v>
                </c:pt>
                <c:pt idx="106">
                  <c:v>6.8105325245777966</c:v>
                </c:pt>
                <c:pt idx="107">
                  <c:v>6.768428434589107</c:v>
                </c:pt>
                <c:pt idx="108">
                  <c:v>6.7269679311753583</c:v>
                </c:pt>
                <c:pt idx="109">
                  <c:v>6.6861354381807345</c:v>
                </c:pt>
                <c:pt idx="110">
                  <c:v>6.6459158925723054</c:v>
                </c:pt>
                <c:pt idx="111">
                  <c:v>6.6062947231372426</c:v>
                </c:pt>
                <c:pt idx="112">
                  <c:v>6.567257830243749</c:v>
                </c:pt>
                <c:pt idx="113">
                  <c:v>6.5287915666036156</c:v>
                </c:pt>
                <c:pt idx="114">
                  <c:v>6.4908827189787068</c:v>
                </c:pt>
                <c:pt idx="115">
                  <c:v>6.4535184907774816</c:v>
                </c:pt>
                <c:pt idx="116">
                  <c:v>6.4166864854908487</c:v>
                </c:pt>
                <c:pt idx="117">
                  <c:v>6.3803746909204548</c:v>
                </c:pt>
                <c:pt idx="118">
                  <c:v>6.3445714641549271</c:v>
                </c:pt>
                <c:pt idx="119">
                  <c:v>6.3092655172529444</c:v>
                </c:pt>
                <c:pt idx="120">
                  <c:v>6.2744459035941764</c:v>
                </c:pt>
                <c:pt idx="121">
                  <c:v>6.2401020048619493</c:v>
                </c:pt>
                <c:pt idx="122">
                  <c:v>6.2062235186233057</c:v>
                </c:pt>
                <c:pt idx="123">
                  <c:v>6.1728004464747528</c:v>
                </c:pt>
                <c:pt idx="124">
                  <c:v>6.1398230827234048</c:v>
                </c:pt>
                <c:pt idx="125">
                  <c:v>6.107282003575464</c:v>
                </c:pt>
                <c:pt idx="126">
                  <c:v>6.0751680568054809</c:v>
                </c:pt>
                <c:pt idx="127">
                  <c:v>6.0434723518814248</c:v>
                </c:pt>
                <c:pt idx="128">
                  <c:v>6.0121862505220784</c:v>
                </c:pt>
                <c:pt idx="129">
                  <c:v>5.9813013576647815</c:v>
                </c:pt>
                <c:pt idx="130">
                  <c:v>5.9508095128226186</c:v>
                </c:pt>
                <c:pt idx="131">
                  <c:v>5.9207027818114479</c:v>
                </c:pt>
                <c:pt idx="132">
                  <c:v>5.8909734488283885</c:v>
                </c:pt>
                <c:pt idx="133">
                  <c:v>5.8616140088642519</c:v>
                </c:pt>
                <c:pt idx="134">
                  <c:v>5.8326171604335695</c:v>
                </c:pt>
                <c:pt idx="135">
                  <c:v>5.8039757986066034</c:v>
                </c:pt>
                <c:pt idx="136">
                  <c:v>5.7756830083288095</c:v>
                </c:pt>
                <c:pt idx="137">
                  <c:v>5.7477320580138</c:v>
                </c:pt>
                <c:pt idx="138">
                  <c:v>5.7201163933967898</c:v>
                </c:pt>
                <c:pt idx="139">
                  <c:v>5.6928296316362319</c:v>
                </c:pt>
                <c:pt idx="140">
                  <c:v>5.6658655556517505</c:v>
                </c:pt>
                <c:pt idx="141">
                  <c:v>5.6392181086875599</c:v>
                </c:pt>
                <c:pt idx="142">
                  <c:v>5.6128813890906466</c:v>
                </c:pt>
                <c:pt idx="143">
                  <c:v>5.586849645294043</c:v>
                </c:pt>
                <c:pt idx="144">
                  <c:v>5.5611172709955525</c:v>
                </c:pt>
                <c:pt idx="145">
                  <c:v>5.5356788005232032</c:v>
                </c:pt>
                <c:pt idx="146">
                  <c:v>5.5105289043789405</c:v>
                </c:pt>
                <c:pt idx="147">
                  <c:v>5.4856623849525121</c:v>
                </c:pt>
                <c:pt idx="148">
                  <c:v>5.4610741723980043</c:v>
                </c:pt>
                <c:pt idx="149">
                  <c:v>5.436759320665721</c:v>
                </c:pt>
                <c:pt idx="150">
                  <c:v>5.412713003682792</c:v>
                </c:pt>
                <c:pt idx="151">
                  <c:v>5.3889305116756834</c:v>
                </c:pt>
                <c:pt idx="152">
                  <c:v>5.3654072476287684</c:v>
                </c:pt>
                <c:pt idx="153">
                  <c:v>5.3421387238728002</c:v>
                </c:pt>
                <c:pt idx="154">
                  <c:v>5.319120558797934</c:v>
                </c:pt>
                <c:pt idx="155">
                  <c:v>5.2963484736858844</c:v>
                </c:pt>
                <c:pt idx="156">
                  <c:v>5.2738182896561376</c:v>
                </c:pt>
                <c:pt idx="157">
                  <c:v>5.2515259247215438</c:v>
                </c:pt>
                <c:pt idx="158">
                  <c:v>5.2294673909485532</c:v>
                </c:pt>
                <c:pt idx="159">
                  <c:v>5.207638791717951</c:v>
                </c:pt>
                <c:pt idx="160">
                  <c:v>5.1860363190816603</c:v>
                </c:pt>
                <c:pt idx="161">
                  <c:v>5.1646562512120031</c:v>
                </c:pt>
                <c:pt idx="162">
                  <c:v>5.1434949499393143</c:v>
                </c:pt>
                <c:pt idx="163">
                  <c:v>5.1225488583746204</c:v>
                </c:pt>
                <c:pt idx="164">
                  <c:v>5.1018144986137086</c:v>
                </c:pt>
                <c:pt idx="165">
                  <c:v>5.0812884695195155</c:v>
                </c:pt>
                <c:pt idx="166">
                  <c:v>5.0609674445795463</c:v>
                </c:pt>
                <c:pt idx="167">
                  <c:v>5.0408481698355523</c:v>
                </c:pt>
                <c:pt idx="168">
                  <c:v>5.0209274618824109</c:v>
                </c:pt>
                <c:pt idx="169">
                  <c:v>5.0012022059336312</c:v>
                </c:pt>
                <c:pt idx="170">
                  <c:v>4.9816693539509149</c:v>
                </c:pt>
                <c:pt idx="171">
                  <c:v>4.9623259228351424</c:v>
                </c:pt>
                <c:pt idx="172">
                  <c:v>4.9431689926766085</c:v>
                </c:pt>
                <c:pt idx="173">
                  <c:v>4.9241957050621004</c:v>
                </c:pt>
                <c:pt idx="174">
                  <c:v>4.9054032614367546</c:v>
                </c:pt>
                <c:pt idx="175">
                  <c:v>4.886788921518507</c:v>
                </c:pt>
                <c:pt idx="176">
                  <c:v>4.8683500017633312</c:v>
                </c:pt>
                <c:pt idx="177">
                  <c:v>4.8500838738791741</c:v>
                </c:pt>
                <c:pt idx="178">
                  <c:v>4.8319879633869309</c:v>
                </c:pt>
                <c:pt idx="179">
                  <c:v>4.8140597482265841</c:v>
                </c:pt>
                <c:pt idx="180">
                  <c:v>4.7962967574070436</c:v>
                </c:pt>
                <c:pt idx="181">
                  <c:v>4.778696569697825</c:v>
                </c:pt>
                <c:pt idx="182">
                  <c:v>4.7612568123613102</c:v>
                </c:pt>
                <c:pt idx="183">
                  <c:v>4.7439751599238971</c:v>
                </c:pt>
                <c:pt idx="184">
                  <c:v>4.726849332984818</c:v>
                </c:pt>
                <c:pt idx="185">
                  <c:v>4.7098770970611685</c:v>
                </c:pt>
                <c:pt idx="186">
                  <c:v>4.6930562614678868</c:v>
                </c:pt>
                <c:pt idx="187">
                  <c:v>4.6763846782314609</c:v>
                </c:pt>
                <c:pt idx="188">
                  <c:v>4.6598602410361796</c:v>
                </c:pt>
                <c:pt idx="189">
                  <c:v>4.6434808842017405</c:v>
                </c:pt>
                <c:pt idx="190">
                  <c:v>4.627244581691162</c:v>
                </c:pt>
                <c:pt idx="191">
                  <c:v>4.6111493461479984</c:v>
                </c:pt>
                <c:pt idx="192">
                  <c:v>4.5951932279616914</c:v>
                </c:pt>
                <c:pt idx="193">
                  <c:v>4.5793743143602912</c:v>
                </c:pt>
                <c:pt idx="194">
                  <c:v>4.5636907285294228</c:v>
                </c:pt>
                <c:pt idx="195">
                  <c:v>4.5481406287567925</c:v>
                </c:pt>
                <c:pt idx="196">
                  <c:v>4.5327222076011857</c:v>
                </c:pt>
                <c:pt idx="197">
                  <c:v>4.5174336910852828</c:v>
                </c:pt>
                <c:pt idx="198">
                  <c:v>4.5022733379114159</c:v>
                </c:pt>
                <c:pt idx="199">
                  <c:v>4.4872394386995103</c:v>
                </c:pt>
                <c:pt idx="200">
                  <c:v>4.4723303152465217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678-4C53-844C-6502BB2B3056}"/>
            </c:ext>
          </c:extLst>
        </c:ser>
        <c:ser>
          <c:idx val="3"/>
          <c:order val="3"/>
          <c:tx>
            <c:v>50 kn</c:v>
          </c:tx>
          <c:spPr>
            <a:ln w="248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Data!$E$1:$E$201</c:f>
              <c:numCache>
                <c:formatCode>0.00</c:formatCode>
                <c:ptCount val="201"/>
                <c:pt idx="0" formatCode="General">
                  <c:v>0</c:v>
                </c:pt>
                <c:pt idx="1">
                  <c:v>33.426033878058803</c:v>
                </c:pt>
                <c:pt idx="2">
                  <c:v>38.819096991893225</c:v>
                </c:pt>
                <c:pt idx="3">
                  <c:v>41.169356640448349</c:v>
                </c:pt>
                <c:pt idx="4">
                  <c:v>42.002269800046598</c:v>
                </c:pt>
                <c:pt idx="5">
                  <c:v>41.925810045668612</c:v>
                </c:pt>
                <c:pt idx="6">
                  <c:v>41.279501046868333</c:v>
                </c:pt>
                <c:pt idx="7">
                  <c:v>40.282354247876903</c:v>
                </c:pt>
                <c:pt idx="8">
                  <c:v>39.083514726781047</c:v>
                </c:pt>
                <c:pt idx="9">
                  <c:v>37.785377657777588</c:v>
                </c:pt>
                <c:pt idx="10">
                  <c:v>36.457055463868244</c:v>
                </c:pt>
                <c:pt idx="11">
                  <c:v>35.143644044970685</c:v>
                </c:pt>
                <c:pt idx="12">
                  <c:v>33.8731009913257</c:v>
                </c:pt>
                <c:pt idx="13">
                  <c:v>32.661428087390462</c:v>
                </c:pt>
                <c:pt idx="14">
                  <c:v>31.516522240763834</c:v>
                </c:pt>
                <c:pt idx="15">
                  <c:v>30.440968044122123</c:v>
                </c:pt>
                <c:pt idx="16">
                  <c:v>29.434009100185133</c:v>
                </c:pt>
                <c:pt idx="17">
                  <c:v>28.492902729257139</c:v>
                </c:pt>
                <c:pt idx="18">
                  <c:v>27.613826212419365</c:v>
                </c:pt>
                <c:pt idx="19">
                  <c:v>26.792465963381336</c:v>
                </c:pt>
                <c:pt idx="20">
                  <c:v>26.024388033341268</c:v>
                </c:pt>
                <c:pt idx="21">
                  <c:v>25.3052611835565</c:v>
                </c:pt>
                <c:pt idx="22">
                  <c:v>24.630982708234061</c:v>
                </c:pt>
                <c:pt idx="23">
                  <c:v>23.99774158020875</c:v>
                </c:pt>
                <c:pt idx="24">
                  <c:v>23.402042286475538</c:v>
                </c:pt>
                <c:pt idx="25">
                  <c:v>22.840704872942666</c:v>
                </c:pt>
                <c:pt idx="26">
                  <c:v>22.310851327451861</c:v>
                </c:pt>
                <c:pt idx="27">
                  <c:v>21.809884786845775</c:v>
                </c:pt>
                <c:pt idx="28">
                  <c:v>21.335465626235386</c:v>
                </c:pt>
                <c:pt idx="29">
                  <c:v>20.885486892919101</c:v>
                </c:pt>
                <c:pt idx="30">
                  <c:v>20.45805051340129</c:v>
                </c:pt>
                <c:pt idx="31">
                  <c:v>20.051445042792093</c:v>
                </c:pt>
                <c:pt idx="32">
                  <c:v>19.664125314133763</c:v>
                </c:pt>
                <c:pt idx="33">
                  <c:v>19.294694094993829</c:v>
                </c:pt>
                <c:pt idx="34">
                  <c:v>18.941885712634878</c:v>
                </c:pt>
                <c:pt idx="35">
                  <c:v>18.604551529252131</c:v>
                </c:pt>
                <c:pt idx="36">
                  <c:v>18.28164711025811</c:v>
                </c:pt>
                <c:pt idx="37">
                  <c:v>17.972220915200694</c:v>
                </c:pt>
                <c:pt idx="38">
                  <c:v>17.675404342223178</c:v>
                </c:pt>
                <c:pt idx="39">
                  <c:v>17.390402966409926</c:v>
                </c:pt>
                <c:pt idx="40">
                  <c:v>17.116488825799951</c:v>
                </c:pt>
                <c:pt idx="41">
                  <c:v>16.852993623787913</c:v>
                </c:pt>
                <c:pt idx="42">
                  <c:v>16.599302731602613</c:v>
                </c:pt>
                <c:pt idx="43">
                  <c:v>16.354849888741942</c:v>
                </c:pt>
                <c:pt idx="44">
                  <c:v>16.119112512244754</c:v>
                </c:pt>
                <c:pt idx="45">
                  <c:v>15.891607537335551</c:v>
                </c:pt>
                <c:pt idx="46">
                  <c:v>15.671887722273814</c:v>
                </c:pt>
                <c:pt idx="47">
                  <c:v>15.459538359244661</c:v>
                </c:pt>
                <c:pt idx="48">
                  <c:v>15.254174340947996</c:v>
                </c:pt>
                <c:pt idx="49">
                  <c:v>15.055437539305144</c:v>
                </c:pt>
                <c:pt idx="50">
                  <c:v>14.862994458530455</c:v>
                </c:pt>
                <c:pt idx="51">
                  <c:v>14.676534129830445</c:v>
                </c:pt>
                <c:pt idx="52">
                  <c:v>14.49576621930489</c:v>
                </c:pt>
                <c:pt idx="53">
                  <c:v>14.320419324331013</c:v>
                </c:pt>
                <c:pt idx="54">
                  <c:v>14.150239436899824</c:v>
                </c:pt>
                <c:pt idx="55">
                  <c:v>13.984988555116505</c:v>
                </c:pt>
                <c:pt idx="56">
                  <c:v>13.824443426441418</c:v>
                </c:pt>
                <c:pt idx="57">
                  <c:v>13.66839440828744</c:v>
                </c:pt>
                <c:pt idx="58">
                  <c:v>13.51664443335182</c:v>
                </c:pt>
                <c:pt idx="59">
                  <c:v>13.369008068586435</c:v>
                </c:pt>
                <c:pt idx="60">
                  <c:v>13.225310658032686</c:v>
                </c:pt>
                <c:pt idx="61">
                  <c:v>13.085387540896393</c:v>
                </c:pt>
                <c:pt idx="62">
                  <c:v>12.949083337237754</c:v>
                </c:pt>
                <c:pt idx="63">
                  <c:v>12.8162512945229</c:v>
                </c:pt>
                <c:pt idx="64">
                  <c:v>12.686752689045324</c:v>
                </c:pt>
                <c:pt idx="65">
                  <c:v>12.560456276891152</c:v>
                </c:pt>
                <c:pt idx="66">
                  <c:v>12.437237789706789</c:v>
                </c:pt>
                <c:pt idx="67">
                  <c:v>12.316979471040133</c:v>
                </c:pt>
                <c:pt idx="68">
                  <c:v>12.199569649478049</c:v>
                </c:pt>
                <c:pt idx="69">
                  <c:v>12.084902345200453</c:v>
                </c:pt>
                <c:pt idx="70">
                  <c:v>11.972876906922881</c:v>
                </c:pt>
                <c:pt idx="71">
                  <c:v>11.863397676509685</c:v>
                </c:pt>
                <c:pt idx="72">
                  <c:v>11.756373678815294</c:v>
                </c:pt>
                <c:pt idx="73">
                  <c:v>11.651718334555607</c:v>
                </c:pt>
                <c:pt idx="74">
                  <c:v>11.549349194227542</c:v>
                </c:pt>
                <c:pt idx="75">
                  <c:v>11.449187691289151</c:v>
                </c:pt>
                <c:pt idx="76">
                  <c:v>11.351158912983779</c:v>
                </c:pt>
                <c:pt idx="77">
                  <c:v>11.255191387346235</c:v>
                </c:pt>
                <c:pt idx="78">
                  <c:v>11.161216885065819</c:v>
                </c:pt>
                <c:pt idx="79">
                  <c:v>11.069170235004442</c:v>
                </c:pt>
                <c:pt idx="80">
                  <c:v>10.978989152278034</c:v>
                </c:pt>
                <c:pt idx="81">
                  <c:v>10.89061407790865</c:v>
                </c:pt>
                <c:pt idx="82">
                  <c:v>10.80398802914373</c:v>
                </c:pt>
                <c:pt idx="83">
                  <c:v>10.719056459618511</c:v>
                </c:pt>
                <c:pt idx="84">
                  <c:v>10.635767128610778</c:v>
                </c:pt>
                <c:pt idx="85">
                  <c:v>10.554069978701076</c:v>
                </c:pt>
                <c:pt idx="86">
                  <c:v>10.473917021211175</c:v>
                </c:pt>
                <c:pt idx="87">
                  <c:v>10.395262228846468</c:v>
                </c:pt>
                <c:pt idx="88">
                  <c:v>10.318061435015952</c:v>
                </c:pt>
                <c:pt idx="89">
                  <c:v>10.242272239347633</c:v>
                </c:pt>
                <c:pt idx="90">
                  <c:v>10.167853918955938</c:v>
                </c:pt>
                <c:pt idx="91">
                  <c:v>10.094767345054724</c:v>
                </c:pt>
                <c:pt idx="92">
                  <c:v>10.022974904541316</c:v>
                </c:pt>
                <c:pt idx="93">
                  <c:v>9.9524404262071577</c:v>
                </c:pt>
                <c:pt idx="94">
                  <c:v>9.8831291112579347</c:v>
                </c:pt>
                <c:pt idx="95">
                  <c:v>9.8150074678503412</c:v>
                </c:pt>
                <c:pt idx="96">
                  <c:v>9.7480432493755558</c:v>
                </c:pt>
                <c:pt idx="97">
                  <c:v>9.6822053962402759</c:v>
                </c:pt>
                <c:pt idx="98">
                  <c:v>9.617463980914291</c:v>
                </c:pt>
                <c:pt idx="99">
                  <c:v>9.5537901560320471</c:v>
                </c:pt>
                <c:pt idx="100">
                  <c:v>9.4911561053501927</c:v>
                </c:pt>
                <c:pt idx="101">
                  <c:v>9.4295349973785392</c:v>
                </c:pt>
                <c:pt idx="102">
                  <c:v>9.3689009415149052</c:v>
                </c:pt>
                <c:pt idx="103">
                  <c:v>9.3092289465263125</c:v>
                </c:pt>
                <c:pt idx="104">
                  <c:v>9.2504948812305905</c:v>
                </c:pt>
                <c:pt idx="105">
                  <c:v>9.1926754372427091</c:v>
                </c:pt>
                <c:pt idx="106">
                  <c:v>9.1357480936594317</c:v>
                </c:pt>
                <c:pt idx="107">
                  <c:v>9.0796910835650859</c:v>
                </c:pt>
                <c:pt idx="108">
                  <c:v>9.0244833622490166</c:v>
                </c:pt>
                <c:pt idx="109">
                  <c:v>8.9701045770328456</c:v>
                </c:pt>
                <c:pt idx="110">
                  <c:v>8.9165350386126452</c:v>
                </c:pt>
                <c:pt idx="111">
                  <c:v>8.8637556938274304</c:v>
                </c:pt>
                <c:pt idx="112">
                  <c:v>8.8117480997712594</c:v>
                </c:pt>
                <c:pt idx="113">
                  <c:v>8.7604943991717228</c:v>
                </c:pt>
                <c:pt idx="114">
                  <c:v>8.7099772969627001</c:v>
                </c:pt>
                <c:pt idx="115">
                  <c:v>8.6601800379838547</c:v>
                </c:pt>
                <c:pt idx="116">
                  <c:v>8.6110863857437483</c:v>
                </c:pt>
                <c:pt idx="117">
                  <c:v>8.5626806021874184</c:v>
                </c:pt>
                <c:pt idx="118">
                  <c:v>8.5149474284131497</c:v>
                </c:pt>
                <c:pt idx="119">
                  <c:v>8.467872066286434</c:v>
                </c:pt>
                <c:pt idx="120">
                  <c:v>8.4214401609025504</c:v>
                </c:pt>
                <c:pt idx="121">
                  <c:v>8.3756377838520315</c:v>
                </c:pt>
                <c:pt idx="122">
                  <c:v>8.3304514172462945</c:v>
                </c:pt>
                <c:pt idx="123">
                  <c:v>8.2858679384629976</c:v>
                </c:pt>
                <c:pt idx="124">
                  <c:v>8.2418746055735106</c:v>
                </c:pt>
                <c:pt idx="125">
                  <c:v>8.1984590434167934</c:v>
                </c:pt>
                <c:pt idx="126">
                  <c:v>8.1556092302863092</c:v>
                </c:pt>
                <c:pt idx="127">
                  <c:v>8.1133134851985282</c:v>
                </c:pt>
                <c:pt idx="128">
                  <c:v>8.0715604557132945</c:v>
                </c:pt>
                <c:pt idx="129">
                  <c:v>8.0303391062782783</c:v>
                </c:pt>
                <c:pt idx="130">
                  <c:v>7.9896387070711361</c:v>
                </c:pt>
                <c:pt idx="131">
                  <c:v>7.9494488233145981</c:v>
                </c:pt>
                <c:pt idx="132">
                  <c:v>7.9097593050411117</c:v>
                </c:pt>
                <c:pt idx="133">
                  <c:v>7.8705602772849943</c:v>
                </c:pt>
                <c:pt idx="134">
                  <c:v>7.8318421306811592</c:v>
                </c:pt>
                <c:pt idx="135">
                  <c:v>7.7935955124509988</c:v>
                </c:pt>
                <c:pt idx="136">
                  <c:v>7.7558113177564438</c:v>
                </c:pt>
                <c:pt idx="137">
                  <c:v>7.7184806814050226</c:v>
                </c:pt>
                <c:pt idx="138">
                  <c:v>7.6815949698890611</c:v>
                </c:pt>
                <c:pt idx="139">
                  <c:v>7.645145773743419</c:v>
                </c:pt>
                <c:pt idx="140">
                  <c:v>7.6091249002067931</c:v>
                </c:pt>
                <c:pt idx="141">
                  <c:v>7.573524366172669</c:v>
                </c:pt>
                <c:pt idx="142">
                  <c:v>7.5383363914163812</c:v>
                </c:pt>
                <c:pt idx="143">
                  <c:v>7.5035533920858457</c:v>
                </c:pt>
                <c:pt idx="144">
                  <c:v>7.4691679744438222</c:v>
                </c:pt>
                <c:pt idx="145">
                  <c:v>7.4351729288504851</c:v>
                </c:pt>
                <c:pt idx="146">
                  <c:v>7.4015612239754685</c:v>
                </c:pt>
                <c:pt idx="147">
                  <c:v>7.3683260012291329</c:v>
                </c:pt>
                <c:pt idx="148">
                  <c:v>7.3354605694034598</c:v>
                </c:pt>
                <c:pt idx="149">
                  <c:v>7.3029583995132619</c:v>
                </c:pt>
                <c:pt idx="150">
                  <c:v>7.270813119829028</c:v>
                </c:pt>
                <c:pt idx="151">
                  <c:v>7.2390185110930521</c:v>
                </c:pt>
                <c:pt idx="152">
                  <c:v>7.2075685019109814</c:v>
                </c:pt>
                <c:pt idx="153">
                  <c:v>7.1764571643112225</c:v>
                </c:pt>
                <c:pt idx="154">
                  <c:v>7.1456787094651384</c:v>
                </c:pt>
                <c:pt idx="155">
                  <c:v>7.1152274835611395</c:v>
                </c:pt>
                <c:pt idx="156">
                  <c:v>7.0850979638263283</c:v>
                </c:pt>
                <c:pt idx="157">
                  <c:v>7.0552847546893691</c:v>
                </c:pt>
                <c:pt idx="158">
                  <c:v>7.025782584078943</c:v>
                </c:pt>
                <c:pt idx="159">
                  <c:v>6.9965862998519155</c:v>
                </c:pt>
                <c:pt idx="160">
                  <c:v>6.9676908663462305</c:v>
                </c:pt>
                <c:pt idx="161">
                  <c:v>6.9390913610531362</c:v>
                </c:pt>
                <c:pt idx="162">
                  <c:v>6.9107829714041058</c:v>
                </c:pt>
                <c:pt idx="163">
                  <c:v>6.882760991667797</c:v>
                </c:pt>
                <c:pt idx="164">
                  <c:v>6.8550208199525811</c:v>
                </c:pt>
                <c:pt idx="165">
                  <c:v>6.8275579553105432</c:v>
                </c:pt>
                <c:pt idx="166">
                  <c:v>6.8003679949388633</c:v>
                </c:pt>
                <c:pt idx="167">
                  <c:v>6.7734466314747754</c:v>
                </c:pt>
                <c:pt idx="168">
                  <c:v>6.7467896503804647</c:v>
                </c:pt>
                <c:pt idx="169">
                  <c:v>6.7203929274143892</c:v>
                </c:pt>
                <c:pt idx="170">
                  <c:v>6.6942524261856642</c:v>
                </c:pt>
                <c:pt idx="171">
                  <c:v>6.6683641957884108</c:v>
                </c:pt>
                <c:pt idx="172">
                  <c:v>6.6427243685128943</c:v>
                </c:pt>
                <c:pt idx="173">
                  <c:v>6.617329157630615</c:v>
                </c:pt>
                <c:pt idx="174">
                  <c:v>6.5921748552505299</c:v>
                </c:pt>
                <c:pt idx="175">
                  <c:v>6.5672578302437525</c:v>
                </c:pt>
                <c:pt idx="176">
                  <c:v>6.5425745262341808</c:v>
                </c:pt>
                <c:pt idx="177">
                  <c:v>6.5181214596525372</c:v>
                </c:pt>
                <c:pt idx="178">
                  <c:v>6.4938952178515796</c:v>
                </c:pt>
                <c:pt idx="179">
                  <c:v>6.4698924572801708</c:v>
                </c:pt>
                <c:pt idx="180">
                  <c:v>6.4461099017140651</c:v>
                </c:pt>
                <c:pt idx="181">
                  <c:v>6.4225443405413793</c:v>
                </c:pt>
                <c:pt idx="182">
                  <c:v>6.3991926271007324</c:v>
                </c:pt>
                <c:pt idx="183">
                  <c:v>6.376051677070218</c:v>
                </c:pt>
                <c:pt idx="184">
                  <c:v>6.353118466905304</c:v>
                </c:pt>
                <c:pt idx="185">
                  <c:v>6.330390032324007</c:v>
                </c:pt>
                <c:pt idx="186">
                  <c:v>6.3078634668376683</c:v>
                </c:pt>
                <c:pt idx="187">
                  <c:v>6.2855359203256063</c:v>
                </c:pt>
                <c:pt idx="188">
                  <c:v>6.2634045976522765</c:v>
                </c:pt>
                <c:pt idx="189">
                  <c:v>6.2414667573253562</c:v>
                </c:pt>
                <c:pt idx="190">
                  <c:v>6.2197197101933499</c:v>
                </c:pt>
                <c:pt idx="191">
                  <c:v>6.1981608181813774</c:v>
                </c:pt>
                <c:pt idx="192">
                  <c:v>6.1767874930638227</c:v>
                </c:pt>
                <c:pt idx="193">
                  <c:v>6.155597195272577</c:v>
                </c:pt>
                <c:pt idx="194">
                  <c:v>6.134587432739691</c:v>
                </c:pt>
                <c:pt idx="195">
                  <c:v>6.1137557597732455</c:v>
                </c:pt>
                <c:pt idx="196">
                  <c:v>6.0930997759653573</c:v>
                </c:pt>
                <c:pt idx="197">
                  <c:v>6.0726171251312389</c:v>
                </c:pt>
                <c:pt idx="198">
                  <c:v>6.0523054942782331</c:v>
                </c:pt>
                <c:pt idx="199">
                  <c:v>6.032162612603873</c:v>
                </c:pt>
                <c:pt idx="200">
                  <c:v>6.0121862505220776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678-4C53-844C-6502BB2B3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168415"/>
        <c:axId val="63308933"/>
      </c:scatterChart>
      <c:valAx>
        <c:axId val="8116841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AU" sz="1000" b="1" strike="noStrike" spc="-1">
                    <a:solidFill>
                      <a:srgbClr val="000000"/>
                    </a:solidFill>
                    <a:latin typeface="Calibri"/>
                  </a:rPr>
                  <a:t>Fetch (km)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308933"/>
        <c:crosses val="autoZero"/>
        <c:crossBetween val="midCat"/>
      </c:valAx>
      <c:valAx>
        <c:axId val="633089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AU" sz="1000" b="1" strike="noStrike" spc="-1">
                    <a:solidFill>
                      <a:srgbClr val="000000"/>
                    </a:solidFill>
                    <a:latin typeface="Calibri"/>
                  </a:rPr>
                  <a:t>Wave slope (degrees)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168415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147636</xdr:colOff>
      <xdr:row>0</xdr:row>
      <xdr:rowOff>109536</xdr:rowOff>
    </xdr:from>
    <xdr:to>
      <xdr:col>20</xdr:col>
      <xdr:colOff>428624</xdr:colOff>
      <xdr:row>34</xdr:row>
      <xdr:rowOff>133349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96FAF58-B529-5712-A4AA-210D384878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160920</xdr:rowOff>
    </xdr:from>
    <xdr:to>
      <xdr:col>14</xdr:col>
      <xdr:colOff>78480</xdr:colOff>
      <xdr:row>34</xdr:row>
      <xdr:rowOff>14760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zoomScaleNormal="100" workbookViewId="0"/>
  </sheetViews>
  <sheetFormatPr defaultColWidth="8.7109375" defaultRowHeight="15" x14ac:dyDescent="0.25"/>
  <cols>
    <col min="1" max="1" width="42" customWidth="1"/>
    <col min="2" max="2" width="14" customWidth="1"/>
    <col min="3" max="3" width="42" customWidth="1"/>
  </cols>
  <sheetData>
    <row r="1" spans="1:3" ht="18" x14ac:dyDescent="0.25">
      <c r="A1" s="1" t="s">
        <v>0</v>
      </c>
    </row>
    <row r="2" spans="1:3" x14ac:dyDescent="0.25">
      <c r="A2" s="2" t="s">
        <v>1</v>
      </c>
    </row>
    <row r="4" spans="1:3" x14ac:dyDescent="0.25">
      <c r="A4" s="3" t="s">
        <v>2</v>
      </c>
    </row>
    <row r="5" spans="1:3" x14ac:dyDescent="0.25">
      <c r="A5" s="4" t="s">
        <v>3</v>
      </c>
    </row>
    <row r="6" spans="1:3" x14ac:dyDescent="0.25">
      <c r="A6" s="4" t="s">
        <v>4</v>
      </c>
    </row>
    <row r="7" spans="1:3" x14ac:dyDescent="0.25">
      <c r="A7" s="4" t="s">
        <v>5</v>
      </c>
    </row>
    <row r="8" spans="1:3" x14ac:dyDescent="0.25">
      <c r="A8" s="4" t="s">
        <v>6</v>
      </c>
    </row>
    <row r="9" spans="1:3" x14ac:dyDescent="0.25">
      <c r="A9" s="5" t="s">
        <v>7</v>
      </c>
    </row>
    <row r="11" spans="1:3" x14ac:dyDescent="0.25">
      <c r="A11" s="3" t="s">
        <v>8</v>
      </c>
    </row>
    <row r="12" spans="1:3" x14ac:dyDescent="0.25">
      <c r="A12" s="4" t="s">
        <v>9</v>
      </c>
      <c r="B12" s="6">
        <v>9.81</v>
      </c>
      <c r="C12" s="7" t="s">
        <v>10</v>
      </c>
    </row>
    <row r="13" spans="1:3" x14ac:dyDescent="0.25">
      <c r="A13" s="4" t="s">
        <v>11</v>
      </c>
      <c r="B13" s="6">
        <v>0.28299999999999997</v>
      </c>
      <c r="C13" s="7" t="s">
        <v>12</v>
      </c>
    </row>
    <row r="14" spans="1:3" x14ac:dyDescent="0.25">
      <c r="A14" s="4" t="s">
        <v>13</v>
      </c>
      <c r="B14" s="6">
        <v>1.2500000000000001E-2</v>
      </c>
      <c r="C14" s="7" t="s">
        <v>14</v>
      </c>
    </row>
    <row r="15" spans="1:3" x14ac:dyDescent="0.25">
      <c r="A15" s="4" t="s">
        <v>15</v>
      </c>
      <c r="B15" s="6">
        <v>0.28599999999999998</v>
      </c>
      <c r="C15" s="7" t="s">
        <v>16</v>
      </c>
    </row>
    <row r="16" spans="1:3" x14ac:dyDescent="0.25">
      <c r="A16" s="4" t="s">
        <v>17</v>
      </c>
      <c r="B16" s="6">
        <v>0.33333333333333298</v>
      </c>
      <c r="C16" s="7" t="s">
        <v>18</v>
      </c>
    </row>
    <row r="17" spans="1:3" x14ac:dyDescent="0.25">
      <c r="A17" s="4" t="s">
        <v>19</v>
      </c>
      <c r="B17" s="6">
        <v>8.1300000000000008</v>
      </c>
      <c r="C17" s="7" t="s">
        <v>20</v>
      </c>
    </row>
    <row r="19" spans="1:3" x14ac:dyDescent="0.25">
      <c r="A19" s="3" t="s">
        <v>21</v>
      </c>
    </row>
    <row r="20" spans="1:3" x14ac:dyDescent="0.25">
      <c r="A20" s="4" t="s">
        <v>22</v>
      </c>
      <c r="B20" s="6">
        <v>10.2888</v>
      </c>
      <c r="C20" s="7" t="s">
        <v>23</v>
      </c>
    </row>
    <row r="21" spans="1:3" x14ac:dyDescent="0.25">
      <c r="A21" s="4" t="s">
        <v>24</v>
      </c>
      <c r="B21" s="6">
        <v>15.433199999999999</v>
      </c>
      <c r="C21" s="7" t="s">
        <v>25</v>
      </c>
    </row>
    <row r="22" spans="1:3" x14ac:dyDescent="0.25">
      <c r="A22" s="4" t="s">
        <v>26</v>
      </c>
      <c r="B22" s="6">
        <v>20.5776</v>
      </c>
      <c r="C22" s="7" t="s">
        <v>27</v>
      </c>
    </row>
    <row r="23" spans="1:3" x14ac:dyDescent="0.25">
      <c r="A23" s="4" t="s">
        <v>28</v>
      </c>
      <c r="B23" s="6">
        <v>25.722000000000001</v>
      </c>
      <c r="C23" s="7" t="s">
        <v>29</v>
      </c>
    </row>
    <row r="25" spans="1:3" x14ac:dyDescent="0.25">
      <c r="A25" s="7" t="s">
        <v>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1"/>
  <sheetViews>
    <sheetView tabSelected="1" zoomScaleNormal="100" workbookViewId="0">
      <selection sqref="A1:E201"/>
    </sheetView>
  </sheetViews>
  <sheetFormatPr defaultColWidth="8.7109375" defaultRowHeight="15" x14ac:dyDescent="0.25"/>
  <cols>
    <col min="1" max="5" width="16" customWidth="1"/>
  </cols>
  <sheetData>
    <row r="1" spans="1:5" x14ac:dyDescent="0.25">
      <c r="A1" s="8" t="s">
        <v>31</v>
      </c>
      <c r="B1" s="8" t="s">
        <v>32</v>
      </c>
      <c r="C1" s="8" t="s">
        <v>33</v>
      </c>
      <c r="D1" s="8" t="s">
        <v>34</v>
      </c>
      <c r="E1" s="8" t="s">
        <v>35</v>
      </c>
    </row>
    <row r="2" spans="1:5" x14ac:dyDescent="0.25">
      <c r="A2" s="4">
        <v>1</v>
      </c>
      <c r="B2" s="9">
        <f>DEGREES(ATAN((Inputs!$B$13*TANH(Inputs!$B$14*(Inputs!$B$12*A2*1000/(Inputs!$B$20^2)))*Inputs!$B$20^2/Inputs!$B$12)/((Inputs!$B$12*((Inputs!$B$15*(Inputs!$B$12*A2*1000/(Inputs!$B$20^2))^Inputs!$B$16*Inputs!$B$20/Inputs!$B$12))^2/(2*PI())))))</f>
        <v>41.056315043289445</v>
      </c>
      <c r="C2" s="9">
        <f>DEGREES(ATAN((Inputs!$B$13*TANH(Inputs!$B$14*(Inputs!$B$12*A2*1000/(Inputs!$B$21^2)))*Inputs!$B$21^2/Inputs!$B$12)/((Inputs!$B$12*((Inputs!$B$15*(Inputs!$B$12*A2*1000/(Inputs!$B$21^2))^Inputs!$B$16*Inputs!$B$21/Inputs!$B$12))^2/(2*PI())))))</f>
        <v>40.808862265275565</v>
      </c>
      <c r="D2" s="9">
        <f>DEGREES(ATAN((Inputs!$B$13*TANH(Inputs!$B$14*(Inputs!$B$12*A2*1000/(Inputs!$B$22^2)))*Inputs!$B$22^2/Inputs!$B$12)/((Inputs!$B$12*((Inputs!$B$15*(Inputs!$B$12*A2*1000/(Inputs!$B$22^2))^Inputs!$B$16*Inputs!$B$22/Inputs!$B$12))^2/(2*PI())))))</f>
        <v>37.005145868363186</v>
      </c>
      <c r="E2" s="9">
        <f>DEGREES(ATAN((Inputs!$B$13*TANH(Inputs!$B$14*(Inputs!$B$12*A2*1000/(Inputs!$B$23^2)))*Inputs!$B$23^2/Inputs!$B$12)/((Inputs!$B$12*((Inputs!$B$15*(Inputs!$B$12*A2*1000/(Inputs!$B$23^2))^Inputs!$B$16*Inputs!$B$23/Inputs!$B$12))^2/(2*PI())))))</f>
        <v>33.426033878058803</v>
      </c>
    </row>
    <row r="3" spans="1:5" x14ac:dyDescent="0.25">
      <c r="A3" s="4">
        <v>2</v>
      </c>
      <c r="B3" s="9">
        <f>DEGREES(ATAN((Inputs!$B$13*TANH(Inputs!$B$14*(Inputs!$B$12*A3*1000/(Inputs!$B$20^2)))*Inputs!$B$20^2/Inputs!$B$12)/((Inputs!$B$12*((Inputs!$B$15*(Inputs!$B$12*A3*1000/(Inputs!$B$20^2))^Inputs!$B$16*Inputs!$B$20/Inputs!$B$12))^2/(2*PI())))))</f>
        <v>33.259259537826686</v>
      </c>
      <c r="C3" s="9">
        <f>DEGREES(ATAN((Inputs!$B$13*TANH(Inputs!$B$14*(Inputs!$B$12*A3*1000/(Inputs!$B$21^2)))*Inputs!$B$21^2/Inputs!$B$12)/((Inputs!$B$12*((Inputs!$B$15*(Inputs!$B$12*A3*1000/(Inputs!$B$21^2))^Inputs!$B$16*Inputs!$B$21/Inputs!$B$12))^2/(2*PI())))))</f>
        <v>41.62109897927558</v>
      </c>
      <c r="D3" s="9">
        <f>DEGREES(ATAN((Inputs!$B$13*TANH(Inputs!$B$14*(Inputs!$B$12*A3*1000/(Inputs!$B$22^2)))*Inputs!$B$22^2/Inputs!$B$12)/((Inputs!$B$12*((Inputs!$B$15*(Inputs!$B$12*A3*1000/(Inputs!$B$22^2))^Inputs!$B$16*Inputs!$B$22/Inputs!$B$12))^2/(2*PI())))))</f>
        <v>41.339801867569449</v>
      </c>
      <c r="E3" s="9">
        <f>DEGREES(ATAN((Inputs!$B$13*TANH(Inputs!$B$14*(Inputs!$B$12*A3*1000/(Inputs!$B$23^2)))*Inputs!$B$23^2/Inputs!$B$12)/((Inputs!$B$12*((Inputs!$B$15*(Inputs!$B$12*A3*1000/(Inputs!$B$23^2))^Inputs!$B$16*Inputs!$B$23/Inputs!$B$12))^2/(2*PI())))))</f>
        <v>38.819096991893225</v>
      </c>
    </row>
    <row r="4" spans="1:5" x14ac:dyDescent="0.25">
      <c r="A4" s="4">
        <v>3</v>
      </c>
      <c r="B4" s="9">
        <f>DEGREES(ATAN((Inputs!$B$13*TANH(Inputs!$B$14*(Inputs!$B$12*A4*1000/(Inputs!$B$20^2)))*Inputs!$B$20^2/Inputs!$B$12)/((Inputs!$B$12*((Inputs!$B$15*(Inputs!$B$12*A4*1000/(Inputs!$B$20^2))^Inputs!$B$16*Inputs!$B$20/Inputs!$B$12))^2/(2*PI())))))</f>
        <v>26.992638058013661</v>
      </c>
      <c r="C4" s="9">
        <f>DEGREES(ATAN((Inputs!$B$13*TANH(Inputs!$B$14*(Inputs!$B$12*A4*1000/(Inputs!$B$21^2)))*Inputs!$B$21^2/Inputs!$B$12)/((Inputs!$B$12*((Inputs!$B$15*(Inputs!$B$12*A4*1000/(Inputs!$B$21^2))^Inputs!$B$16*Inputs!$B$21/Inputs!$B$12))^2/(2*PI())))))</f>
        <v>38.657839174960358</v>
      </c>
      <c r="D4" s="9">
        <f>DEGREES(ATAN((Inputs!$B$13*TANH(Inputs!$B$14*(Inputs!$B$12*A4*1000/(Inputs!$B$22^2)))*Inputs!$B$22^2/Inputs!$B$12)/((Inputs!$B$12*((Inputs!$B$15*(Inputs!$B$12*A4*1000/(Inputs!$B$22^2))^Inputs!$B$16*Inputs!$B$22/Inputs!$B$12))^2/(2*PI())))))</f>
        <v>42.023770707537999</v>
      </c>
      <c r="E4" s="9">
        <f>DEGREES(ATAN((Inputs!$B$13*TANH(Inputs!$B$14*(Inputs!$B$12*A4*1000/(Inputs!$B$23^2)))*Inputs!$B$23^2/Inputs!$B$12)/((Inputs!$B$12*((Inputs!$B$15*(Inputs!$B$12*A4*1000/(Inputs!$B$23^2))^Inputs!$B$16*Inputs!$B$23/Inputs!$B$12))^2/(2*PI())))))</f>
        <v>41.169356640448349</v>
      </c>
    </row>
    <row r="5" spans="1:5" x14ac:dyDescent="0.25">
      <c r="A5" s="4">
        <v>4</v>
      </c>
      <c r="B5" s="9">
        <f>DEGREES(ATAN((Inputs!$B$13*TANH(Inputs!$B$14*(Inputs!$B$12*A5*1000/(Inputs!$B$20^2)))*Inputs!$B$20^2/Inputs!$B$12)/((Inputs!$B$12*((Inputs!$B$15*(Inputs!$B$12*A5*1000/(Inputs!$B$20^2))^Inputs!$B$16*Inputs!$B$20/Inputs!$B$12))^2/(2*PI())))))</f>
        <v>22.840704872942673</v>
      </c>
      <c r="C5" s="9">
        <f>DEGREES(ATAN((Inputs!$B$13*TANH(Inputs!$B$14*(Inputs!$B$12*A5*1000/(Inputs!$B$21^2)))*Inputs!$B$21^2/Inputs!$B$12)/((Inputs!$B$12*((Inputs!$B$15*(Inputs!$B$12*A5*1000/(Inputs!$B$21^2))^Inputs!$B$16*Inputs!$B$21/Inputs!$B$12))^2/(2*PI())))))</f>
        <v>34.999975856952275</v>
      </c>
      <c r="D5" s="9">
        <f>DEGREES(ATAN((Inputs!$B$13*TANH(Inputs!$B$14*(Inputs!$B$12*A5*1000/(Inputs!$B$22^2)))*Inputs!$B$22^2/Inputs!$B$12)/((Inputs!$B$12*((Inputs!$B$15*(Inputs!$B$12*A5*1000/(Inputs!$B$22^2))^Inputs!$B$16*Inputs!$B$22/Inputs!$B$12))^2/(2*PI())))))</f>
        <v>41.056315043289445</v>
      </c>
      <c r="E5" s="9">
        <f>DEGREES(ATAN((Inputs!$B$13*TANH(Inputs!$B$14*(Inputs!$B$12*A5*1000/(Inputs!$B$23^2)))*Inputs!$B$23^2/Inputs!$B$12)/((Inputs!$B$12*((Inputs!$B$15*(Inputs!$B$12*A5*1000/(Inputs!$B$23^2))^Inputs!$B$16*Inputs!$B$23/Inputs!$B$12))^2/(2*PI())))))</f>
        <v>42.002269800046598</v>
      </c>
    </row>
    <row r="6" spans="1:5" x14ac:dyDescent="0.25">
      <c r="A6" s="4">
        <v>5</v>
      </c>
      <c r="B6" s="9">
        <f>DEGREES(ATAN((Inputs!$B$13*TANH(Inputs!$B$14*(Inputs!$B$12*A6*1000/(Inputs!$B$20^2)))*Inputs!$B$20^2/Inputs!$B$12)/((Inputs!$B$12*((Inputs!$B$15*(Inputs!$B$12*A6*1000/(Inputs!$B$20^2))^Inputs!$B$16*Inputs!$B$20/Inputs!$B$12))^2/(2*PI())))))</f>
        <v>19.952864047172252</v>
      </c>
      <c r="C6" s="9">
        <f>DEGREES(ATAN((Inputs!$B$13*TANH(Inputs!$B$14*(Inputs!$B$12*A6*1000/(Inputs!$B$21^2)))*Inputs!$B$21^2/Inputs!$B$12)/((Inputs!$B$12*((Inputs!$B$15*(Inputs!$B$12*A6*1000/(Inputs!$B$21^2))^Inputs!$B$16*Inputs!$B$21/Inputs!$B$12))^2/(2*PI())))))</f>
        <v>31.640321685003265</v>
      </c>
      <c r="D6" s="9">
        <f>DEGREES(ATAN((Inputs!$B$13*TANH(Inputs!$B$14*(Inputs!$B$12*A6*1000/(Inputs!$B$22^2)))*Inputs!$B$22^2/Inputs!$B$12)/((Inputs!$B$12*((Inputs!$B$15*(Inputs!$B$12*A6*1000/(Inputs!$B$22^2))^Inputs!$B$16*Inputs!$B$22/Inputs!$B$12))^2/(2*PI())))))</f>
        <v>39.318428331052345</v>
      </c>
      <c r="E6" s="9">
        <f>DEGREES(ATAN((Inputs!$B$13*TANH(Inputs!$B$14*(Inputs!$B$12*A6*1000/(Inputs!$B$23^2)))*Inputs!$B$23^2/Inputs!$B$12)/((Inputs!$B$12*((Inputs!$B$15*(Inputs!$B$12*A6*1000/(Inputs!$B$23^2))^Inputs!$B$16*Inputs!$B$23/Inputs!$B$12))^2/(2*PI())))))</f>
        <v>41.925810045668612</v>
      </c>
    </row>
    <row r="7" spans="1:5" x14ac:dyDescent="0.25">
      <c r="A7" s="4">
        <v>6</v>
      </c>
      <c r="B7" s="9">
        <f>DEGREES(ATAN((Inputs!$B$13*TANH(Inputs!$B$14*(Inputs!$B$12*A7*1000/(Inputs!$B$20^2)))*Inputs!$B$20^2/Inputs!$B$12)/((Inputs!$B$12*((Inputs!$B$15*(Inputs!$B$12*A7*1000/(Inputs!$B$20^2))^Inputs!$B$16*Inputs!$B$20/Inputs!$B$12))^2/(2*PI())))))</f>
        <v>17.822287720854124</v>
      </c>
      <c r="C7" s="9">
        <f>DEGREES(ATAN((Inputs!$B$13*TANH(Inputs!$B$14*(Inputs!$B$12*A7*1000/(Inputs!$B$21^2)))*Inputs!$B$21^2/Inputs!$B$12)/((Inputs!$B$12*((Inputs!$B$15*(Inputs!$B$12*A7*1000/(Inputs!$B$21^2))^Inputs!$B$16*Inputs!$B$21/Inputs!$B$12))^2/(2*PI())))))</f>
        <v>28.799509218204506</v>
      </c>
      <c r="D7" s="9">
        <f>DEGREES(ATAN((Inputs!$B$13*TANH(Inputs!$B$14*(Inputs!$B$12*A7*1000/(Inputs!$B$22^2)))*Inputs!$B$22^2/Inputs!$B$12)/((Inputs!$B$12*((Inputs!$B$15*(Inputs!$B$12*A7*1000/(Inputs!$B$22^2))^Inputs!$B$16*Inputs!$B$22/Inputs!$B$12))^2/(2*PI())))))</f>
        <v>37.287928036181668</v>
      </c>
      <c r="E7" s="9">
        <f>DEGREES(ATAN((Inputs!$B$13*TANH(Inputs!$B$14*(Inputs!$B$12*A7*1000/(Inputs!$B$23^2)))*Inputs!$B$23^2/Inputs!$B$12)/((Inputs!$B$12*((Inputs!$B$15*(Inputs!$B$12*A7*1000/(Inputs!$B$23^2))^Inputs!$B$16*Inputs!$B$23/Inputs!$B$12))^2/(2*PI())))))</f>
        <v>41.279501046868333</v>
      </c>
    </row>
    <row r="8" spans="1:5" x14ac:dyDescent="0.25">
      <c r="A8" s="4">
        <v>7</v>
      </c>
      <c r="B8" s="9">
        <f>DEGREES(ATAN((Inputs!$B$13*TANH(Inputs!$B$14*(Inputs!$B$12*A8*1000/(Inputs!$B$20^2)))*Inputs!$B$20^2/Inputs!$B$12)/((Inputs!$B$12*((Inputs!$B$15*(Inputs!$B$12*A8*1000/(Inputs!$B$20^2))^Inputs!$B$16*Inputs!$B$20/Inputs!$B$12))^2/(2*PI())))))</f>
        <v>16.177256838109766</v>
      </c>
      <c r="C8" s="9">
        <f>DEGREES(ATAN((Inputs!$B$13*TANH(Inputs!$B$14*(Inputs!$B$12*A8*1000/(Inputs!$B$21^2)))*Inputs!$B$21^2/Inputs!$B$12)/((Inputs!$B$12*((Inputs!$B$15*(Inputs!$B$12*A8*1000/(Inputs!$B$21^2))^Inputs!$B$16*Inputs!$B$21/Inputs!$B$12))^2/(2*PI())))))</f>
        <v>26.44478155717837</v>
      </c>
      <c r="D8" s="9">
        <f>DEGREES(ATAN((Inputs!$B$13*TANH(Inputs!$B$14*(Inputs!$B$12*A8*1000/(Inputs!$B$22^2)))*Inputs!$B$22^2/Inputs!$B$12)/((Inputs!$B$12*((Inputs!$B$15*(Inputs!$B$12*A8*1000/(Inputs!$B$22^2))^Inputs!$B$16*Inputs!$B$22/Inputs!$B$12))^2/(2*PI())))))</f>
        <v>35.224697087651052</v>
      </c>
      <c r="E8" s="9">
        <f>DEGREES(ATAN((Inputs!$B$13*TANH(Inputs!$B$14*(Inputs!$B$12*A8*1000/(Inputs!$B$23^2)))*Inputs!$B$23^2/Inputs!$B$12)/((Inputs!$B$12*((Inputs!$B$15*(Inputs!$B$12*A8*1000/(Inputs!$B$23^2))^Inputs!$B$16*Inputs!$B$23/Inputs!$B$12))^2/(2*PI())))))</f>
        <v>40.282354247876903</v>
      </c>
    </row>
    <row r="9" spans="1:5" x14ac:dyDescent="0.25">
      <c r="A9" s="4">
        <v>8</v>
      </c>
      <c r="B9" s="9">
        <f>DEGREES(ATAN((Inputs!$B$13*TANH(Inputs!$B$14*(Inputs!$B$12*A9*1000/(Inputs!$B$20^2)))*Inputs!$B$20^2/Inputs!$B$12)/((Inputs!$B$12*((Inputs!$B$15*(Inputs!$B$12*A9*1000/(Inputs!$B$20^2))^Inputs!$B$16*Inputs!$B$20/Inputs!$B$12))^2/(2*PI())))))</f>
        <v>14.862994458530455</v>
      </c>
      <c r="C9" s="9">
        <f>DEGREES(ATAN((Inputs!$B$13*TANH(Inputs!$B$14*(Inputs!$B$12*A9*1000/(Inputs!$B$21^2)))*Inputs!$B$21^2/Inputs!$B$12)/((Inputs!$B$12*((Inputs!$B$15*(Inputs!$B$12*A9*1000/(Inputs!$B$21^2))^Inputs!$B$16*Inputs!$B$21/Inputs!$B$12))^2/(2*PI())))))</f>
        <v>24.486844086298987</v>
      </c>
      <c r="D9" s="9">
        <f>DEGREES(ATAN((Inputs!$B$13*TANH(Inputs!$B$14*(Inputs!$B$12*A9*1000/(Inputs!$B$22^2)))*Inputs!$B$22^2/Inputs!$B$12)/((Inputs!$B$12*((Inputs!$B$15*(Inputs!$B$12*A9*1000/(Inputs!$B$22^2))^Inputs!$B$16*Inputs!$B$22/Inputs!$B$12))^2/(2*PI())))))</f>
        <v>33.259259537826686</v>
      </c>
      <c r="E9" s="9">
        <f>DEGREES(ATAN((Inputs!$B$13*TANH(Inputs!$B$14*(Inputs!$B$12*A9*1000/(Inputs!$B$23^2)))*Inputs!$B$23^2/Inputs!$B$12)/((Inputs!$B$12*((Inputs!$B$15*(Inputs!$B$12*A9*1000/(Inputs!$B$23^2))^Inputs!$B$16*Inputs!$B$23/Inputs!$B$12))^2/(2*PI())))))</f>
        <v>39.083514726781047</v>
      </c>
    </row>
    <row r="10" spans="1:5" x14ac:dyDescent="0.25">
      <c r="A10" s="4">
        <v>9</v>
      </c>
      <c r="B10" s="9">
        <f>DEGREES(ATAN((Inputs!$B$13*TANH(Inputs!$B$14*(Inputs!$B$12*A10*1000/(Inputs!$B$20^2)))*Inputs!$B$20^2/Inputs!$B$12)/((Inputs!$B$12*((Inputs!$B$15*(Inputs!$B$12*A10*1000/(Inputs!$B$20^2))^Inputs!$B$16*Inputs!$B$20/Inputs!$B$12))^2/(2*PI())))))</f>
        <v>13.78501756684269</v>
      </c>
      <c r="C10" s="9">
        <f>DEGREES(ATAN((Inputs!$B$13*TANH(Inputs!$B$14*(Inputs!$B$12*A10*1000/(Inputs!$B$21^2)))*Inputs!$B$21^2/Inputs!$B$12)/((Inputs!$B$12*((Inputs!$B$15*(Inputs!$B$12*A10*1000/(Inputs!$B$21^2))^Inputs!$B$16*Inputs!$B$21/Inputs!$B$12))^2/(2*PI())))))</f>
        <v>22.84070487294267</v>
      </c>
      <c r="D10" s="9">
        <f>DEGREES(ATAN((Inputs!$B$13*TANH(Inputs!$B$14*(Inputs!$B$12*A10*1000/(Inputs!$B$22^2)))*Inputs!$B$22^2/Inputs!$B$12)/((Inputs!$B$12*((Inputs!$B$15*(Inputs!$B$12*A10*1000/(Inputs!$B$22^2))^Inputs!$B$16*Inputs!$B$22/Inputs!$B$12))^2/(2*PI())))))</f>
        <v>31.447262725339652</v>
      </c>
      <c r="E10" s="9">
        <f>DEGREES(ATAN((Inputs!$B$13*TANH(Inputs!$B$14*(Inputs!$B$12*A10*1000/(Inputs!$B$23^2)))*Inputs!$B$23^2/Inputs!$B$12)/((Inputs!$B$12*((Inputs!$B$15*(Inputs!$B$12*A10*1000/(Inputs!$B$23^2))^Inputs!$B$16*Inputs!$B$23/Inputs!$B$12))^2/(2*PI())))))</f>
        <v>37.785377657777588</v>
      </c>
    </row>
    <row r="11" spans="1:5" x14ac:dyDescent="0.25">
      <c r="A11" s="4">
        <v>10</v>
      </c>
      <c r="B11" s="9">
        <f>DEGREES(ATAN((Inputs!$B$13*TANH(Inputs!$B$14*(Inputs!$B$12*A11*1000/(Inputs!$B$20^2)))*Inputs!$B$20^2/Inputs!$B$12)/((Inputs!$B$12*((Inputs!$B$15*(Inputs!$B$12*A11*1000/(Inputs!$B$20^2))^Inputs!$B$16*Inputs!$B$20/Inputs!$B$12))^2/(2*PI())))))</f>
        <v>12.882242147505901</v>
      </c>
      <c r="C11" s="9">
        <f>DEGREES(ATAN((Inputs!$B$13*TANH(Inputs!$B$14*(Inputs!$B$12*A11*1000/(Inputs!$B$21^2)))*Inputs!$B$21^2/Inputs!$B$12)/((Inputs!$B$12*((Inputs!$B$15*(Inputs!$B$12*A11*1000/(Inputs!$B$21^2))^Inputs!$B$16*Inputs!$B$21/Inputs!$B$12))^2/(2*PI())))))</f>
        <v>21.438709218827402</v>
      </c>
      <c r="D11" s="9">
        <f>DEGREES(ATAN((Inputs!$B$13*TANH(Inputs!$B$14*(Inputs!$B$12*A11*1000/(Inputs!$B$22^2)))*Inputs!$B$22^2/Inputs!$B$12)/((Inputs!$B$12*((Inputs!$B$15*(Inputs!$B$12*A11*1000/(Inputs!$B$22^2))^Inputs!$B$16*Inputs!$B$22/Inputs!$B$12))^2/(2*PI())))))</f>
        <v>29.803723024375707</v>
      </c>
      <c r="E11" s="9">
        <f>DEGREES(ATAN((Inputs!$B$13*TANH(Inputs!$B$14*(Inputs!$B$12*A11*1000/(Inputs!$B$23^2)))*Inputs!$B$23^2/Inputs!$B$12)/((Inputs!$B$12*((Inputs!$B$15*(Inputs!$B$12*A11*1000/(Inputs!$B$23^2))^Inputs!$B$16*Inputs!$B$23/Inputs!$B$12))^2/(2*PI())))))</f>
        <v>36.457055463868244</v>
      </c>
    </row>
    <row r="12" spans="1:5" x14ac:dyDescent="0.25">
      <c r="A12" s="4">
        <v>11</v>
      </c>
      <c r="B12" s="9">
        <f>DEGREES(ATAN((Inputs!$B$13*TANH(Inputs!$B$14*(Inputs!$B$12*A12*1000/(Inputs!$B$20^2)))*Inputs!$B$20^2/Inputs!$B$12)/((Inputs!$B$12*((Inputs!$B$15*(Inputs!$B$12*A12*1000/(Inputs!$B$20^2))^Inputs!$B$16*Inputs!$B$20/Inputs!$B$12))^2/(2*PI())))))</f>
        <v>12.11331765246023</v>
      </c>
      <c r="C12" s="9">
        <f>DEGREES(ATAN((Inputs!$B$13*TANH(Inputs!$B$14*(Inputs!$B$12*A12*1000/(Inputs!$B$21^2)))*Inputs!$B$21^2/Inputs!$B$12)/((Inputs!$B$12*((Inputs!$B$15*(Inputs!$B$12*A12*1000/(Inputs!$B$21^2))^Inputs!$B$16*Inputs!$B$21/Inputs!$B$12))^2/(2*PI())))))</f>
        <v>20.229689398769274</v>
      </c>
      <c r="D12" s="9">
        <f>DEGREES(ATAN((Inputs!$B$13*TANH(Inputs!$B$14*(Inputs!$B$12*A12*1000/(Inputs!$B$22^2)))*Inputs!$B$22^2/Inputs!$B$12)/((Inputs!$B$12*((Inputs!$B$15*(Inputs!$B$12*A12*1000/(Inputs!$B$22^2))^Inputs!$B$16*Inputs!$B$22/Inputs!$B$12))^2/(2*PI())))))</f>
        <v>28.32347702783845</v>
      </c>
      <c r="E12" s="9">
        <f>DEGREES(ATAN((Inputs!$B$13*TANH(Inputs!$B$14*(Inputs!$B$12*A12*1000/(Inputs!$B$23^2)))*Inputs!$B$23^2/Inputs!$B$12)/((Inputs!$B$12*((Inputs!$B$15*(Inputs!$B$12*A12*1000/(Inputs!$B$23^2))^Inputs!$B$16*Inputs!$B$23/Inputs!$B$12))^2/(2*PI())))))</f>
        <v>35.143644044970685</v>
      </c>
    </row>
    <row r="13" spans="1:5" x14ac:dyDescent="0.25">
      <c r="A13" s="4">
        <v>12</v>
      </c>
      <c r="B13" s="9">
        <f>DEGREES(ATAN((Inputs!$B$13*TANH(Inputs!$B$14*(Inputs!$B$12*A13*1000/(Inputs!$B$20^2)))*Inputs!$B$20^2/Inputs!$B$12)/((Inputs!$B$12*((Inputs!$B$15*(Inputs!$B$12*A13*1000/(Inputs!$B$20^2))^Inputs!$B$16*Inputs!$B$20/Inputs!$B$12))^2/(2*PI())))))</f>
        <v>11.449187691289149</v>
      </c>
      <c r="C13" s="9">
        <f>DEGREES(ATAN((Inputs!$B$13*TANH(Inputs!$B$14*(Inputs!$B$12*A13*1000/(Inputs!$B$21^2)))*Inputs!$B$21^2/Inputs!$B$12)/((Inputs!$B$12*((Inputs!$B$15*(Inputs!$B$12*A13*1000/(Inputs!$B$21^2))^Inputs!$B$16*Inputs!$B$21/Inputs!$B$12))^2/(2*PI())))))</f>
        <v>19.175303319894578</v>
      </c>
      <c r="D13" s="9">
        <f>DEGREES(ATAN((Inputs!$B$13*TANH(Inputs!$B$14*(Inputs!$B$12*A13*1000/(Inputs!$B$22^2)))*Inputs!$B$22^2/Inputs!$B$12)/((Inputs!$B$12*((Inputs!$B$15*(Inputs!$B$12*A13*1000/(Inputs!$B$22^2))^Inputs!$B$16*Inputs!$B$22/Inputs!$B$12))^2/(2*PI())))))</f>
        <v>26.992638058013661</v>
      </c>
      <c r="E13" s="9">
        <f>DEGREES(ATAN((Inputs!$B$13*TANH(Inputs!$B$14*(Inputs!$B$12*A13*1000/(Inputs!$B$23^2)))*Inputs!$B$23^2/Inputs!$B$12)/((Inputs!$B$12*((Inputs!$B$15*(Inputs!$B$12*A13*1000/(Inputs!$B$23^2))^Inputs!$B$16*Inputs!$B$23/Inputs!$B$12))^2/(2*PI())))))</f>
        <v>33.8731009913257</v>
      </c>
    </row>
    <row r="14" spans="1:5" x14ac:dyDescent="0.25">
      <c r="A14" s="4">
        <v>13</v>
      </c>
      <c r="B14" s="9">
        <f>DEGREES(ATAN((Inputs!$B$13*TANH(Inputs!$B$14*(Inputs!$B$12*A14*1000/(Inputs!$B$20^2)))*Inputs!$B$20^2/Inputs!$B$12)/((Inputs!$B$12*((Inputs!$B$15*(Inputs!$B$12*A14*1000/(Inputs!$B$20^2))^Inputs!$B$16*Inputs!$B$20/Inputs!$B$12))^2/(2*PI())))))</f>
        <v>10.868795765885501</v>
      </c>
      <c r="C14" s="9">
        <f>DEGREES(ATAN((Inputs!$B$13*TANH(Inputs!$B$14*(Inputs!$B$12*A14*1000/(Inputs!$B$21^2)))*Inputs!$B$21^2/Inputs!$B$12)/((Inputs!$B$12*((Inputs!$B$15*(Inputs!$B$12*A14*1000/(Inputs!$B$21^2))^Inputs!$B$16*Inputs!$B$21/Inputs!$B$12))^2/(2*PI())))))</f>
        <v>18.246617399653779</v>
      </c>
      <c r="D14" s="9">
        <f>DEGREES(ATAN((Inputs!$B$13*TANH(Inputs!$B$14*(Inputs!$B$12*A14*1000/(Inputs!$B$22^2)))*Inputs!$B$22^2/Inputs!$B$12)/((Inputs!$B$12*((Inputs!$B$15*(Inputs!$B$12*A14*1000/(Inputs!$B$22^2))^Inputs!$B$16*Inputs!$B$22/Inputs!$B$12))^2/(2*PI())))))</f>
        <v>25.794600604874439</v>
      </c>
      <c r="E14" s="9">
        <f>DEGREES(ATAN((Inputs!$B$13*TANH(Inputs!$B$14*(Inputs!$B$12*A14*1000/(Inputs!$B$23^2)))*Inputs!$B$23^2/Inputs!$B$12)/((Inputs!$B$12*((Inputs!$B$15*(Inputs!$B$12*A14*1000/(Inputs!$B$23^2))^Inputs!$B$16*Inputs!$B$23/Inputs!$B$12))^2/(2*PI())))))</f>
        <v>32.661428087390462</v>
      </c>
    </row>
    <row r="15" spans="1:5" x14ac:dyDescent="0.25">
      <c r="A15" s="4">
        <v>14</v>
      </c>
      <c r="B15" s="9">
        <f>DEGREES(ATAN((Inputs!$B$13*TANH(Inputs!$B$14*(Inputs!$B$12*A15*1000/(Inputs!$B$20^2)))*Inputs!$B$20^2/Inputs!$B$12)/((Inputs!$B$12*((Inputs!$B$15*(Inputs!$B$12*A15*1000/(Inputs!$B$20^2))^Inputs!$B$16*Inputs!$B$20/Inputs!$B$12))^2/(2*PI())))))</f>
        <v>10.356482772466547</v>
      </c>
      <c r="C15" s="9">
        <f>DEGREES(ATAN((Inputs!$B$13*TANH(Inputs!$B$14*(Inputs!$B$12*A15*1000/(Inputs!$B$21^2)))*Inputs!$B$21^2/Inputs!$B$12)/((Inputs!$B$12*((Inputs!$B$15*(Inputs!$B$12*A15*1000/(Inputs!$B$21^2))^Inputs!$B$16*Inputs!$B$21/Inputs!$B$12))^2/(2*PI())))))</f>
        <v>17.421509492431348</v>
      </c>
      <c r="D15" s="9">
        <f>DEGREES(ATAN((Inputs!$B$13*TANH(Inputs!$B$14*(Inputs!$B$12*A15*1000/(Inputs!$B$22^2)))*Inputs!$B$22^2/Inputs!$B$12)/((Inputs!$B$12*((Inputs!$B$15*(Inputs!$B$12*A15*1000/(Inputs!$B$22^2))^Inputs!$B$16*Inputs!$B$22/Inputs!$B$12))^2/(2*PI())))))</f>
        <v>24.712948125011181</v>
      </c>
      <c r="E15" s="9">
        <f>DEGREES(ATAN((Inputs!$B$13*TANH(Inputs!$B$14*(Inputs!$B$12*A15*1000/(Inputs!$B$23^2)))*Inputs!$B$23^2/Inputs!$B$12)/((Inputs!$B$12*((Inputs!$B$15*(Inputs!$B$12*A15*1000/(Inputs!$B$23^2))^Inputs!$B$16*Inputs!$B$23/Inputs!$B$12))^2/(2*PI())))))</f>
        <v>31.516522240763834</v>
      </c>
    </row>
    <row r="16" spans="1:5" x14ac:dyDescent="0.25">
      <c r="A16" s="4">
        <v>15</v>
      </c>
      <c r="B16" s="9">
        <f>DEGREES(ATAN((Inputs!$B$13*TANH(Inputs!$B$14*(Inputs!$B$12*A16*1000/(Inputs!$B$20^2)))*Inputs!$B$20^2/Inputs!$B$12)/((Inputs!$B$12*((Inputs!$B$15*(Inputs!$B$12*A16*1000/(Inputs!$B$20^2))^Inputs!$B$16*Inputs!$B$20/Inputs!$B$12))^2/(2*PI())))))</f>
        <v>9.9003441217558574</v>
      </c>
      <c r="C16" s="9">
        <f>DEGREES(ATAN((Inputs!$B$13*TANH(Inputs!$B$14*(Inputs!$B$12*A16*1000/(Inputs!$B$21^2)))*Inputs!$B$21^2/Inputs!$B$12)/((Inputs!$B$12*((Inputs!$B$15*(Inputs!$B$12*A16*1000/(Inputs!$B$21^2))^Inputs!$B$16*Inputs!$B$21/Inputs!$B$12))^2/(2*PI())))))</f>
        <v>16.68281289026568</v>
      </c>
      <c r="D16" s="9">
        <f>DEGREES(ATAN((Inputs!$B$13*TANH(Inputs!$B$14*(Inputs!$B$12*A16*1000/(Inputs!$B$22^2)))*Inputs!$B$22^2/Inputs!$B$12)/((Inputs!$B$12*((Inputs!$B$15*(Inputs!$B$12*A16*1000/(Inputs!$B$22^2))^Inputs!$B$16*Inputs!$B$22/Inputs!$B$12))^2/(2*PI())))))</f>
        <v>23.732698385754006</v>
      </c>
      <c r="E16" s="9">
        <f>DEGREES(ATAN((Inputs!$B$13*TANH(Inputs!$B$14*(Inputs!$B$12*A16*1000/(Inputs!$B$23^2)))*Inputs!$B$23^2/Inputs!$B$12)/((Inputs!$B$12*((Inputs!$B$15*(Inputs!$B$12*A16*1000/(Inputs!$B$23^2))^Inputs!$B$16*Inputs!$B$23/Inputs!$B$12))^2/(2*PI())))))</f>
        <v>30.440968044122123</v>
      </c>
    </row>
    <row r="17" spans="1:5" x14ac:dyDescent="0.25">
      <c r="A17" s="4">
        <v>16</v>
      </c>
      <c r="B17" s="9">
        <f>DEGREES(ATAN((Inputs!$B$13*TANH(Inputs!$B$14*(Inputs!$B$12*A17*1000/(Inputs!$B$20^2)))*Inputs!$B$20^2/Inputs!$B$12)/((Inputs!$B$12*((Inputs!$B$15*(Inputs!$B$12*A17*1000/(Inputs!$B$20^2))^Inputs!$B$16*Inputs!$B$20/Inputs!$B$12))^2/(2*PI())))))</f>
        <v>9.4911561053501927</v>
      </c>
      <c r="C17" s="9">
        <f>DEGREES(ATAN((Inputs!$B$13*TANH(Inputs!$B$14*(Inputs!$B$12*A17*1000/(Inputs!$B$21^2)))*Inputs!$B$21^2/Inputs!$B$12)/((Inputs!$B$12*((Inputs!$B$15*(Inputs!$B$12*A17*1000/(Inputs!$B$21^2))^Inputs!$B$16*Inputs!$B$21/Inputs!$B$12))^2/(2*PI())))))</f>
        <v>16.01701021830258</v>
      </c>
      <c r="D17" s="9">
        <f>DEGREES(ATAN((Inputs!$B$13*TANH(Inputs!$B$14*(Inputs!$B$12*A17*1000/(Inputs!$B$22^2)))*Inputs!$B$22^2/Inputs!$B$12)/((Inputs!$B$12*((Inputs!$B$15*(Inputs!$B$12*A17*1000/(Inputs!$B$22^2))^Inputs!$B$16*Inputs!$B$22/Inputs!$B$12))^2/(2*PI())))))</f>
        <v>22.840704872942673</v>
      </c>
      <c r="E17" s="9">
        <f>DEGREES(ATAN((Inputs!$B$13*TANH(Inputs!$B$14*(Inputs!$B$12*A17*1000/(Inputs!$B$23^2)))*Inputs!$B$23^2/Inputs!$B$12)/((Inputs!$B$12*((Inputs!$B$15*(Inputs!$B$12*A17*1000/(Inputs!$B$23^2))^Inputs!$B$16*Inputs!$B$23/Inputs!$B$12))^2/(2*PI())))))</f>
        <v>29.434009100185133</v>
      </c>
    </row>
    <row r="18" spans="1:5" x14ac:dyDescent="0.25">
      <c r="A18" s="4">
        <v>17</v>
      </c>
      <c r="B18" s="9">
        <f>DEGREES(ATAN((Inputs!$B$13*TANH(Inputs!$B$14*(Inputs!$B$12*A18*1000/(Inputs!$B$20^2)))*Inputs!$B$20^2/Inputs!$B$12)/((Inputs!$B$12*((Inputs!$B$15*(Inputs!$B$12*A18*1000/(Inputs!$B$20^2))^Inputs!$B$16*Inputs!$B$20/Inputs!$B$12))^2/(2*PI())))))</f>
        <v>9.1216530815350865</v>
      </c>
      <c r="C18" s="9">
        <f>DEGREES(ATAN((Inputs!$B$13*TANH(Inputs!$B$14*(Inputs!$B$12*A18*1000/(Inputs!$B$21^2)))*Inputs!$B$21^2/Inputs!$B$12)/((Inputs!$B$12*((Inputs!$B$15*(Inputs!$B$12*A18*1000/(Inputs!$B$21^2))^Inputs!$B$16*Inputs!$B$21/Inputs!$B$12))^2/(2*PI())))))</f>
        <v>15.413311252975413</v>
      </c>
      <c r="D18" s="9">
        <f>DEGREES(ATAN((Inputs!$B$13*TANH(Inputs!$B$14*(Inputs!$B$12*A18*1000/(Inputs!$B$22^2)))*Inputs!$B$22^2/Inputs!$B$12)/((Inputs!$B$12*((Inputs!$B$15*(Inputs!$B$12*A18*1000/(Inputs!$B$22^2))^Inputs!$B$16*Inputs!$B$22/Inputs!$B$12))^2/(2*PI())))))</f>
        <v>22.025658765377365</v>
      </c>
      <c r="E18" s="9">
        <f>DEGREES(ATAN((Inputs!$B$13*TANH(Inputs!$B$14*(Inputs!$B$12*A18*1000/(Inputs!$B$23^2)))*Inputs!$B$23^2/Inputs!$B$12)/((Inputs!$B$12*((Inputs!$B$15*(Inputs!$B$12*A18*1000/(Inputs!$B$23^2))^Inputs!$B$16*Inputs!$B$23/Inputs!$B$12))^2/(2*PI())))))</f>
        <v>28.492902729257139</v>
      </c>
    </row>
    <row r="19" spans="1:5" x14ac:dyDescent="0.25">
      <c r="A19" s="4">
        <v>18</v>
      </c>
      <c r="B19" s="9">
        <f>DEGREES(ATAN((Inputs!$B$13*TANH(Inputs!$B$14*(Inputs!$B$12*A19*1000/(Inputs!$B$20^2)))*Inputs!$B$20^2/Inputs!$B$12)/((Inputs!$B$12*((Inputs!$B$15*(Inputs!$B$12*A19*1000/(Inputs!$B$20^2))^Inputs!$B$16*Inputs!$B$20/Inputs!$B$12))^2/(2*PI())))))</f>
        <v>8.7860281066410764</v>
      </c>
      <c r="C19" s="9">
        <f>DEGREES(ATAN((Inputs!$B$13*TANH(Inputs!$B$14*(Inputs!$B$12*A19*1000/(Inputs!$B$21^2)))*Inputs!$B$21^2/Inputs!$B$12)/((Inputs!$B$12*((Inputs!$B$15*(Inputs!$B$12*A19*1000/(Inputs!$B$21^2))^Inputs!$B$16*Inputs!$B$21/Inputs!$B$12))^2/(2*PI())))))</f>
        <v>14.862994458530455</v>
      </c>
      <c r="D19" s="9">
        <f>DEGREES(ATAN((Inputs!$B$13*TANH(Inputs!$B$14*(Inputs!$B$12*A19*1000/(Inputs!$B$22^2)))*Inputs!$B$22^2/Inputs!$B$12)/((Inputs!$B$12*((Inputs!$B$15*(Inputs!$B$12*A19*1000/(Inputs!$B$22^2))^Inputs!$B$16*Inputs!$B$22/Inputs!$B$12))^2/(2*PI())))))</f>
        <v>21.277922537628132</v>
      </c>
      <c r="E19" s="9">
        <f>DEGREES(ATAN((Inputs!$B$13*TANH(Inputs!$B$14*(Inputs!$B$12*A19*1000/(Inputs!$B$23^2)))*Inputs!$B$23^2/Inputs!$B$12)/((Inputs!$B$12*((Inputs!$B$15*(Inputs!$B$12*A19*1000/(Inputs!$B$23^2))^Inputs!$B$16*Inputs!$B$23/Inputs!$B$12))^2/(2*PI())))))</f>
        <v>27.613826212419365</v>
      </c>
    </row>
    <row r="20" spans="1:5" x14ac:dyDescent="0.25">
      <c r="A20" s="4">
        <v>19</v>
      </c>
      <c r="B20" s="9">
        <f>DEGREES(ATAN((Inputs!$B$13*TANH(Inputs!$B$14*(Inputs!$B$12*A20*1000/(Inputs!$B$20^2)))*Inputs!$B$20^2/Inputs!$B$12)/((Inputs!$B$12*((Inputs!$B$15*(Inputs!$B$12*A20*1000/(Inputs!$B$20^2))^Inputs!$B$16*Inputs!$B$20/Inputs!$B$12))^2/(2*PI())))))</f>
        <v>8.4795800294246924</v>
      </c>
      <c r="C20" s="9">
        <f>DEGREES(ATAN((Inputs!$B$13*TANH(Inputs!$B$14*(Inputs!$B$12*A20*1000/(Inputs!$B$21^2)))*Inputs!$B$21^2/Inputs!$B$12)/((Inputs!$B$12*((Inputs!$B$15*(Inputs!$B$12*A20*1000/(Inputs!$B$21^2))^Inputs!$B$16*Inputs!$B$21/Inputs!$B$12))^2/(2*PI())))))</f>
        <v>14.358930086023365</v>
      </c>
      <c r="D20" s="9">
        <f>DEGREES(ATAN((Inputs!$B$13*TANH(Inputs!$B$14*(Inputs!$B$12*A20*1000/(Inputs!$B$22^2)))*Inputs!$B$22^2/Inputs!$B$12)/((Inputs!$B$12*((Inputs!$B$15*(Inputs!$B$12*A20*1000/(Inputs!$B$22^2))^Inputs!$B$16*Inputs!$B$22/Inputs!$B$12))^2/(2*PI())))))</f>
        <v>20.589309728998014</v>
      </c>
      <c r="E20" s="9">
        <f>DEGREES(ATAN((Inputs!$B$13*TANH(Inputs!$B$14*(Inputs!$B$12*A20*1000/(Inputs!$B$23^2)))*Inputs!$B$23^2/Inputs!$B$12)/((Inputs!$B$12*((Inputs!$B$15*(Inputs!$B$12*A20*1000/(Inputs!$B$23^2))^Inputs!$B$16*Inputs!$B$23/Inputs!$B$12))^2/(2*PI())))))</f>
        <v>26.792465963381336</v>
      </c>
    </row>
    <row r="21" spans="1:5" x14ac:dyDescent="0.25">
      <c r="A21" s="4">
        <v>20</v>
      </c>
      <c r="B21" s="9">
        <f>DEGREES(ATAN((Inputs!$B$13*TANH(Inputs!$B$14*(Inputs!$B$12*A21*1000/(Inputs!$B$20^2)))*Inputs!$B$20^2/Inputs!$B$12)/((Inputs!$B$12*((Inputs!$B$15*(Inputs!$B$12*A21*1000/(Inputs!$B$20^2))^Inputs!$B$16*Inputs!$B$20/Inputs!$B$12))^2/(2*PI())))))</f>
        <v>8.1984590434167952</v>
      </c>
      <c r="C21" s="9">
        <f>DEGREES(ATAN((Inputs!$B$13*TANH(Inputs!$B$14*(Inputs!$B$12*A21*1000/(Inputs!$B$21^2)))*Inputs!$B$21^2/Inputs!$B$12)/((Inputs!$B$12*((Inputs!$B$15*(Inputs!$B$12*A21*1000/(Inputs!$B$21^2))^Inputs!$B$16*Inputs!$B$21/Inputs!$B$12))^2/(2*PI())))))</f>
        <v>13.895229581895725</v>
      </c>
      <c r="D21" s="9">
        <f>DEGREES(ATAN((Inputs!$B$13*TANH(Inputs!$B$14*(Inputs!$B$12*A21*1000/(Inputs!$B$22^2)))*Inputs!$B$22^2/Inputs!$B$12)/((Inputs!$B$12*((Inputs!$B$15*(Inputs!$B$12*A21*1000/(Inputs!$B$22^2))^Inputs!$B$16*Inputs!$B$22/Inputs!$B$12))^2/(2*PI())))))</f>
        <v>19.952864047172252</v>
      </c>
      <c r="E21" s="9">
        <f>DEGREES(ATAN((Inputs!$B$13*TANH(Inputs!$B$14*(Inputs!$B$12*A21*1000/(Inputs!$B$23^2)))*Inputs!$B$23^2/Inputs!$B$12)/((Inputs!$B$12*((Inputs!$B$15*(Inputs!$B$12*A21*1000/(Inputs!$B$23^2))^Inputs!$B$16*Inputs!$B$23/Inputs!$B$12))^2/(2*PI())))))</f>
        <v>26.024388033341268</v>
      </c>
    </row>
    <row r="22" spans="1:5" x14ac:dyDescent="0.25">
      <c r="A22" s="4">
        <v>21</v>
      </c>
      <c r="B22" s="9">
        <f>DEGREES(ATAN((Inputs!$B$13*TANH(Inputs!$B$14*(Inputs!$B$12*A22*1000/(Inputs!$B$20^2)))*Inputs!$B$20^2/Inputs!$B$12)/((Inputs!$B$12*((Inputs!$B$15*(Inputs!$B$12*A22*1000/(Inputs!$B$20^2))^Inputs!$B$16*Inputs!$B$20/Inputs!$B$12))^2/(2*PI())))))</f>
        <v>7.9394799248490759</v>
      </c>
      <c r="C22" s="9">
        <f>DEGREES(ATAN((Inputs!$B$13*TANH(Inputs!$B$14*(Inputs!$B$12*A22*1000/(Inputs!$B$21^2)))*Inputs!$B$21^2/Inputs!$B$12)/((Inputs!$B$12*((Inputs!$B$15*(Inputs!$B$12*A22*1000/(Inputs!$B$21^2))^Inputs!$B$16*Inputs!$B$21/Inputs!$B$12))^2/(2*PI())))))</f>
        <v>13.466984082890161</v>
      </c>
      <c r="D22" s="9">
        <f>DEGREES(ATAN((Inputs!$B$13*TANH(Inputs!$B$14*(Inputs!$B$12*A22*1000/(Inputs!$B$22^2)))*Inputs!$B$22^2/Inputs!$B$12)/((Inputs!$B$12*((Inputs!$B$15*(Inputs!$B$12*A22*1000/(Inputs!$B$22^2))^Inputs!$B$16*Inputs!$B$22/Inputs!$B$12))^2/(2*PI())))))</f>
        <v>19.362659775005483</v>
      </c>
      <c r="E22" s="9">
        <f>DEGREES(ATAN((Inputs!$B$13*TANH(Inputs!$B$14*(Inputs!$B$12*A22*1000/(Inputs!$B$23^2)))*Inputs!$B$23^2/Inputs!$B$12)/((Inputs!$B$12*((Inputs!$B$15*(Inputs!$B$12*A22*1000/(Inputs!$B$23^2))^Inputs!$B$16*Inputs!$B$23/Inputs!$B$12))^2/(2*PI())))))</f>
        <v>25.3052611835565</v>
      </c>
    </row>
    <row r="23" spans="1:5" x14ac:dyDescent="0.25">
      <c r="A23" s="4">
        <v>22</v>
      </c>
      <c r="B23" s="9">
        <f>DEGREES(ATAN((Inputs!$B$13*TANH(Inputs!$B$14*(Inputs!$B$12*A23*1000/(Inputs!$B$20^2)))*Inputs!$B$20^2/Inputs!$B$12)/((Inputs!$B$12*((Inputs!$B$15*(Inputs!$B$12*A23*1000/(Inputs!$B$20^2))^Inputs!$B$16*Inputs!$B$20/Inputs!$B$12))^2/(2*PI())))))</f>
        <v>7.6999827407977328</v>
      </c>
      <c r="C23" s="9">
        <f>DEGREES(ATAN((Inputs!$B$13*TANH(Inputs!$B$14*(Inputs!$B$12*A23*1000/(Inputs!$B$21^2)))*Inputs!$B$21^2/Inputs!$B$12)/((Inputs!$B$12*((Inputs!$B$15*(Inputs!$B$12*A23*1000/(Inputs!$B$21^2))^Inputs!$B$16*Inputs!$B$21/Inputs!$B$12))^2/(2*PI())))))</f>
        <v>13.070066673929727</v>
      </c>
      <c r="D23" s="9">
        <f>DEGREES(ATAN((Inputs!$B$13*TANH(Inputs!$B$14*(Inputs!$B$12*A23*1000/(Inputs!$B$22^2)))*Inputs!$B$22^2/Inputs!$B$12)/((Inputs!$B$12*((Inputs!$B$15*(Inputs!$B$12*A23*1000/(Inputs!$B$22^2))^Inputs!$B$16*Inputs!$B$22/Inputs!$B$12))^2/(2*PI())))))</f>
        <v>18.81363025871434</v>
      </c>
      <c r="E23" s="9">
        <f>DEGREES(ATAN((Inputs!$B$13*TANH(Inputs!$B$14*(Inputs!$B$12*A23*1000/(Inputs!$B$23^2)))*Inputs!$B$23^2/Inputs!$B$12)/((Inputs!$B$12*((Inputs!$B$15*(Inputs!$B$12*A23*1000/(Inputs!$B$23^2))^Inputs!$B$16*Inputs!$B$23/Inputs!$B$12))^2/(2*PI())))))</f>
        <v>24.630982708234061</v>
      </c>
    </row>
    <row r="24" spans="1:5" x14ac:dyDescent="0.25">
      <c r="A24" s="4">
        <v>23</v>
      </c>
      <c r="B24" s="9">
        <f>DEGREES(ATAN((Inputs!$B$13*TANH(Inputs!$B$14*(Inputs!$B$12*A24*1000/(Inputs!$B$20^2)))*Inputs!$B$20^2/Inputs!$B$12)/((Inputs!$B$12*((Inputs!$B$15*(Inputs!$B$12*A24*1000/(Inputs!$B$20^2))^Inputs!$B$16*Inputs!$B$20/Inputs!$B$12))^2/(2*PI())))))</f>
        <v>7.4777274529392059</v>
      </c>
      <c r="C24" s="9">
        <f>DEGREES(ATAN((Inputs!$B$13*TANH(Inputs!$B$14*(Inputs!$B$12*A24*1000/(Inputs!$B$21^2)))*Inputs!$B$21^2/Inputs!$B$12)/((Inputs!$B$12*((Inputs!$B$15*(Inputs!$B$12*A24*1000/(Inputs!$B$21^2))^Inputs!$B$16*Inputs!$B$21/Inputs!$B$12))^2/(2*PI())))))</f>
        <v>12.700980951557881</v>
      </c>
      <c r="D24" s="9">
        <f>DEGREES(ATAN((Inputs!$B$13*TANH(Inputs!$B$14*(Inputs!$B$12*A24*1000/(Inputs!$B$22^2)))*Inputs!$B$22^2/Inputs!$B$12)/((Inputs!$B$12*((Inputs!$B$15*(Inputs!$B$12*A24*1000/(Inputs!$B$22^2))^Inputs!$B$16*Inputs!$B$22/Inputs!$B$12))^2/(2*PI())))))</f>
        <v>18.301424329639506</v>
      </c>
      <c r="E24" s="9">
        <f>DEGREES(ATAN((Inputs!$B$13*TANH(Inputs!$B$14*(Inputs!$B$12*A24*1000/(Inputs!$B$23^2)))*Inputs!$B$23^2/Inputs!$B$12)/((Inputs!$B$12*((Inputs!$B$15*(Inputs!$B$12*A24*1000/(Inputs!$B$23^2))^Inputs!$B$16*Inputs!$B$23/Inputs!$B$12))^2/(2*PI())))))</f>
        <v>23.99774158020875</v>
      </c>
    </row>
    <row r="25" spans="1:5" x14ac:dyDescent="0.25">
      <c r="A25" s="4">
        <v>24</v>
      </c>
      <c r="B25" s="9">
        <f>DEGREES(ATAN((Inputs!$B$13*TANH(Inputs!$B$14*(Inputs!$B$12*A25*1000/(Inputs!$B$20^2)))*Inputs!$B$20^2/Inputs!$B$12)/((Inputs!$B$12*((Inputs!$B$15*(Inputs!$B$12*A25*1000/(Inputs!$B$20^2))^Inputs!$B$16*Inputs!$B$20/Inputs!$B$12))^2/(2*PI())))))</f>
        <v>7.2708131198290289</v>
      </c>
      <c r="C25" s="9">
        <f>DEGREES(ATAN((Inputs!$B$13*TANH(Inputs!$B$14*(Inputs!$B$12*A25*1000/(Inputs!$B$21^2)))*Inputs!$B$21^2/Inputs!$B$12)/((Inputs!$B$12*((Inputs!$B$15*(Inputs!$B$12*A25*1000/(Inputs!$B$21^2))^Inputs!$B$16*Inputs!$B$21/Inputs!$B$12))^2/(2*PI())))))</f>
        <v>12.356743683699769</v>
      </c>
      <c r="D25" s="9">
        <f>DEGREES(ATAN((Inputs!$B$13*TANH(Inputs!$B$14*(Inputs!$B$12*A25*1000/(Inputs!$B$22^2)))*Inputs!$B$22^2/Inputs!$B$12)/((Inputs!$B$12*((Inputs!$B$15*(Inputs!$B$12*A25*1000/(Inputs!$B$22^2))^Inputs!$B$16*Inputs!$B$22/Inputs!$B$12))^2/(2*PI())))))</f>
        <v>17.822287720854124</v>
      </c>
      <c r="E25" s="9">
        <f>DEGREES(ATAN((Inputs!$B$13*TANH(Inputs!$B$14*(Inputs!$B$12*A25*1000/(Inputs!$B$23^2)))*Inputs!$B$23^2/Inputs!$B$12)/((Inputs!$B$12*((Inputs!$B$15*(Inputs!$B$12*A25*1000/(Inputs!$B$23^2))^Inputs!$B$16*Inputs!$B$23/Inputs!$B$12))^2/(2*PI())))))</f>
        <v>23.402042286475538</v>
      </c>
    </row>
    <row r="26" spans="1:5" x14ac:dyDescent="0.25">
      <c r="A26" s="4">
        <v>25</v>
      </c>
      <c r="B26" s="9">
        <f>DEGREES(ATAN((Inputs!$B$13*TANH(Inputs!$B$14*(Inputs!$B$12*A26*1000/(Inputs!$B$20^2)))*Inputs!$B$20^2/Inputs!$B$12)/((Inputs!$B$12*((Inputs!$B$15*(Inputs!$B$12*A26*1000/(Inputs!$B$20^2))^Inputs!$B$16*Inputs!$B$20/Inputs!$B$12))^2/(2*PI())))))</f>
        <v>7.0776152154465048</v>
      </c>
      <c r="C26" s="9">
        <f>DEGREES(ATAN((Inputs!$B$13*TANH(Inputs!$B$14*(Inputs!$B$12*A26*1000/(Inputs!$B$21^2)))*Inputs!$B$21^2/Inputs!$B$12)/((Inputs!$B$12*((Inputs!$B$15*(Inputs!$B$12*A26*1000/(Inputs!$B$21^2))^Inputs!$B$16*Inputs!$B$21/Inputs!$B$12))^2/(2*PI())))))</f>
        <v>12.034792903153662</v>
      </c>
      <c r="D26" s="9">
        <f>DEGREES(ATAN((Inputs!$B$13*TANH(Inputs!$B$14*(Inputs!$B$12*A26*1000/(Inputs!$B$22^2)))*Inputs!$B$22^2/Inputs!$B$12)/((Inputs!$B$12*((Inputs!$B$15*(Inputs!$B$12*A26*1000/(Inputs!$B$22^2))^Inputs!$B$16*Inputs!$B$22/Inputs!$B$12))^2/(2*PI())))))</f>
        <v>17.372965732180205</v>
      </c>
      <c r="E26" s="9">
        <f>DEGREES(ATAN((Inputs!$B$13*TANH(Inputs!$B$14*(Inputs!$B$12*A26*1000/(Inputs!$B$23^2)))*Inputs!$B$23^2/Inputs!$B$12)/((Inputs!$B$12*((Inputs!$B$15*(Inputs!$B$12*A26*1000/(Inputs!$B$23^2))^Inputs!$B$16*Inputs!$B$23/Inputs!$B$12))^2/(2*PI())))))</f>
        <v>22.840704872942666</v>
      </c>
    </row>
    <row r="27" spans="1:5" x14ac:dyDescent="0.25">
      <c r="A27" s="4">
        <v>26</v>
      </c>
      <c r="B27" s="9">
        <f>DEGREES(ATAN((Inputs!$B$13*TANH(Inputs!$B$14*(Inputs!$B$12*A27*1000/(Inputs!$B$20^2)))*Inputs!$B$20^2/Inputs!$B$12)/((Inputs!$B$12*((Inputs!$B$15*(Inputs!$B$12*A27*1000/(Inputs!$B$20^2))^Inputs!$B$16*Inputs!$B$20/Inputs!$B$12))^2/(2*PI())))))</f>
        <v>6.8967364703144076</v>
      </c>
      <c r="C27" s="9">
        <f>DEGREES(ATAN((Inputs!$B$13*TANH(Inputs!$B$14*(Inputs!$B$12*A27*1000/(Inputs!$B$21^2)))*Inputs!$B$21^2/Inputs!$B$12)/((Inputs!$B$12*((Inputs!$B$15*(Inputs!$B$12*A27*1000/(Inputs!$B$21^2))^Inputs!$B$16*Inputs!$B$21/Inputs!$B$12))^2/(2*PI())))))</f>
        <v>11.73291520293437</v>
      </c>
      <c r="D27" s="9">
        <f>DEGREES(ATAN((Inputs!$B$13*TANH(Inputs!$B$14*(Inputs!$B$12*A27*1000/(Inputs!$B$22^2)))*Inputs!$B$22^2/Inputs!$B$12)/((Inputs!$B$12*((Inputs!$B$15*(Inputs!$B$12*A27*1000/(Inputs!$B$22^2))^Inputs!$B$16*Inputs!$B$22/Inputs!$B$12))^2/(2*PI())))))</f>
        <v>16.950623477080136</v>
      </c>
      <c r="E27" s="9">
        <f>DEGREES(ATAN((Inputs!$B$13*TANH(Inputs!$B$14*(Inputs!$B$12*A27*1000/(Inputs!$B$23^2)))*Inputs!$B$23^2/Inputs!$B$12)/((Inputs!$B$12*((Inputs!$B$15*(Inputs!$B$12*A27*1000/(Inputs!$B$23^2))^Inputs!$B$16*Inputs!$B$23/Inputs!$B$12))^2/(2*PI())))))</f>
        <v>22.310851327451861</v>
      </c>
    </row>
    <row r="28" spans="1:5" x14ac:dyDescent="0.25">
      <c r="A28" s="4">
        <v>27</v>
      </c>
      <c r="B28" s="9">
        <f>DEGREES(ATAN((Inputs!$B$13*TANH(Inputs!$B$14*(Inputs!$B$12*A28*1000/(Inputs!$B$20^2)))*Inputs!$B$20^2/Inputs!$B$12)/((Inputs!$B$12*((Inputs!$B$15*(Inputs!$B$12*A28*1000/(Inputs!$B$20^2))^Inputs!$B$16*Inputs!$B$20/Inputs!$B$12))^2/(2*PI())))))</f>
        <v>6.7269679311753583</v>
      </c>
      <c r="C28" s="9">
        <f>DEGREES(ATAN((Inputs!$B$13*TANH(Inputs!$B$14*(Inputs!$B$12*A28*1000/(Inputs!$B$21^2)))*Inputs!$B$21^2/Inputs!$B$12)/((Inputs!$B$12*((Inputs!$B$15*(Inputs!$B$12*A28*1000/(Inputs!$B$21^2))^Inputs!$B$16*Inputs!$B$21/Inputs!$B$12))^2/(2*PI())))))</f>
        <v>11.449187691289154</v>
      </c>
      <c r="D28" s="9">
        <f>DEGREES(ATAN((Inputs!$B$13*TANH(Inputs!$B$14*(Inputs!$B$12*A28*1000/(Inputs!$B$22^2)))*Inputs!$B$22^2/Inputs!$B$12)/((Inputs!$B$12*((Inputs!$B$15*(Inputs!$B$12*A28*1000/(Inputs!$B$22^2))^Inputs!$B$16*Inputs!$B$22/Inputs!$B$12))^2/(2*PI())))))</f>
        <v>16.552780471097083</v>
      </c>
      <c r="E28" s="9">
        <f>DEGREES(ATAN((Inputs!$B$13*TANH(Inputs!$B$14*(Inputs!$B$12*A28*1000/(Inputs!$B$23^2)))*Inputs!$B$23^2/Inputs!$B$12)/((Inputs!$B$12*((Inputs!$B$15*(Inputs!$B$12*A28*1000/(Inputs!$B$23^2))^Inputs!$B$16*Inputs!$B$23/Inputs!$B$12))^2/(2*PI())))))</f>
        <v>21.809884786845775</v>
      </c>
    </row>
    <row r="29" spans="1:5" x14ac:dyDescent="0.25">
      <c r="A29" s="4">
        <v>28</v>
      </c>
      <c r="B29" s="9">
        <f>DEGREES(ATAN((Inputs!$B$13*TANH(Inputs!$B$14*(Inputs!$B$12*A29*1000/(Inputs!$B$20^2)))*Inputs!$B$20^2/Inputs!$B$12)/((Inputs!$B$12*((Inputs!$B$15*(Inputs!$B$12*A29*1000/(Inputs!$B$20^2))^Inputs!$B$16*Inputs!$B$20/Inputs!$B$12))^2/(2*PI())))))</f>
        <v>6.567257830243749</v>
      </c>
      <c r="C29" s="9">
        <f>DEGREES(ATAN((Inputs!$B$13*TANH(Inputs!$B$14*(Inputs!$B$12*A29*1000/(Inputs!$B$21^2)))*Inputs!$B$21^2/Inputs!$B$12)/((Inputs!$B$12*((Inputs!$B$15*(Inputs!$B$12*A29*1000/(Inputs!$B$21^2))^Inputs!$B$16*Inputs!$B$21/Inputs!$B$12))^2/(2*PI())))))</f>
        <v>11.181931255054659</v>
      </c>
      <c r="D29" s="9">
        <f>DEGREES(ATAN((Inputs!$B$13*TANH(Inputs!$B$14*(Inputs!$B$12*A29*1000/(Inputs!$B$22^2)))*Inputs!$B$22^2/Inputs!$B$12)/((Inputs!$B$12*((Inputs!$B$15*(Inputs!$B$12*A29*1000/(Inputs!$B$22^2))^Inputs!$B$16*Inputs!$B$22/Inputs!$B$12))^2/(2*PI())))))</f>
        <v>16.177256838109766</v>
      </c>
      <c r="E29" s="9">
        <f>DEGREES(ATAN((Inputs!$B$13*TANH(Inputs!$B$14*(Inputs!$B$12*A29*1000/(Inputs!$B$23^2)))*Inputs!$B$23^2/Inputs!$B$12)/((Inputs!$B$12*((Inputs!$B$15*(Inputs!$B$12*A29*1000/(Inputs!$B$23^2))^Inputs!$B$16*Inputs!$B$23/Inputs!$B$12))^2/(2*PI())))))</f>
        <v>21.335465626235386</v>
      </c>
    </row>
    <row r="30" spans="1:5" x14ac:dyDescent="0.25">
      <c r="A30" s="4">
        <v>29</v>
      </c>
      <c r="B30" s="9">
        <f>DEGREES(ATAN((Inputs!$B$13*TANH(Inputs!$B$14*(Inputs!$B$12*A30*1000/(Inputs!$B$20^2)))*Inputs!$B$20^2/Inputs!$B$12)/((Inputs!$B$12*((Inputs!$B$15*(Inputs!$B$12*A30*1000/(Inputs!$B$20^2))^Inputs!$B$16*Inputs!$B$20/Inputs!$B$12))^2/(2*PI())))))</f>
        <v>6.4166864854908487</v>
      </c>
      <c r="C30" s="9">
        <f>DEGREES(ATAN((Inputs!$B$13*TANH(Inputs!$B$14*(Inputs!$B$12*A30*1000/(Inputs!$B$21^2)))*Inputs!$B$21^2/Inputs!$B$12)/((Inputs!$B$12*((Inputs!$B$15*(Inputs!$B$12*A30*1000/(Inputs!$B$21^2))^Inputs!$B$16*Inputs!$B$21/Inputs!$B$12))^2/(2*PI())))))</f>
        <v>10.929672630330113</v>
      </c>
      <c r="D30" s="9">
        <f>DEGREES(ATAN((Inputs!$B$13*TANH(Inputs!$B$14*(Inputs!$B$12*A30*1000/(Inputs!$B$22^2)))*Inputs!$B$22^2/Inputs!$B$12)/((Inputs!$B$12*((Inputs!$B$15*(Inputs!$B$12*A30*1000/(Inputs!$B$22^2))^Inputs!$B$16*Inputs!$B$22/Inputs!$B$12))^2/(2*PI())))))</f>
        <v>15.822128905489796</v>
      </c>
      <c r="E30" s="9">
        <f>DEGREES(ATAN((Inputs!$B$13*TANH(Inputs!$B$14*(Inputs!$B$12*A30*1000/(Inputs!$B$23^2)))*Inputs!$B$23^2/Inputs!$B$12)/((Inputs!$B$12*((Inputs!$B$15*(Inputs!$B$12*A30*1000/(Inputs!$B$23^2))^Inputs!$B$16*Inputs!$B$23/Inputs!$B$12))^2/(2*PI())))))</f>
        <v>20.885486892919101</v>
      </c>
    </row>
    <row r="31" spans="1:5" x14ac:dyDescent="0.25">
      <c r="A31" s="4">
        <v>30</v>
      </c>
      <c r="B31" s="9">
        <f>DEGREES(ATAN((Inputs!$B$13*TANH(Inputs!$B$14*(Inputs!$B$12*A31*1000/(Inputs!$B$20^2)))*Inputs!$B$20^2/Inputs!$B$12)/((Inputs!$B$12*((Inputs!$B$15*(Inputs!$B$12*A31*1000/(Inputs!$B$20^2))^Inputs!$B$16*Inputs!$B$20/Inputs!$B$12))^2/(2*PI())))))</f>
        <v>6.2744459035941764</v>
      </c>
      <c r="C31" s="9">
        <f>DEGREES(ATAN((Inputs!$B$13*TANH(Inputs!$B$14*(Inputs!$B$12*A31*1000/(Inputs!$B$21^2)))*Inputs!$B$21^2/Inputs!$B$12)/((Inputs!$B$12*((Inputs!$B$15*(Inputs!$B$12*A31*1000/(Inputs!$B$21^2))^Inputs!$B$16*Inputs!$B$21/Inputs!$B$12))^2/(2*PI())))))</f>
        <v>10.691113394099451</v>
      </c>
      <c r="D31" s="9">
        <f>DEGREES(ATAN((Inputs!$B$13*TANH(Inputs!$B$14*(Inputs!$B$12*A31*1000/(Inputs!$B$22^2)))*Inputs!$B$22^2/Inputs!$B$12)/((Inputs!$B$12*((Inputs!$B$15*(Inputs!$B$12*A31*1000/(Inputs!$B$22^2))^Inputs!$B$16*Inputs!$B$22/Inputs!$B$12))^2/(2*PI())))))</f>
        <v>15.48569239036877</v>
      </c>
      <c r="E31" s="9">
        <f>DEGREES(ATAN((Inputs!$B$13*TANH(Inputs!$B$14*(Inputs!$B$12*A31*1000/(Inputs!$B$23^2)))*Inputs!$B$23^2/Inputs!$B$12)/((Inputs!$B$12*((Inputs!$B$15*(Inputs!$B$12*A31*1000/(Inputs!$B$23^2))^Inputs!$B$16*Inputs!$B$23/Inputs!$B$12))^2/(2*PI())))))</f>
        <v>20.45805051340129</v>
      </c>
    </row>
    <row r="32" spans="1:5" x14ac:dyDescent="0.25">
      <c r="A32" s="4">
        <v>31</v>
      </c>
      <c r="B32" s="9">
        <f>DEGREES(ATAN((Inputs!$B$13*TANH(Inputs!$B$14*(Inputs!$B$12*A32*1000/(Inputs!$B$20^2)))*Inputs!$B$20^2/Inputs!$B$12)/((Inputs!$B$12*((Inputs!$B$15*(Inputs!$B$12*A32*1000/(Inputs!$B$20^2))^Inputs!$B$16*Inputs!$B$20/Inputs!$B$12))^2/(2*PI())))))</f>
        <v>6.1398230827234048</v>
      </c>
      <c r="C32" s="9">
        <f>DEGREES(ATAN((Inputs!$B$13*TANH(Inputs!$B$14*(Inputs!$B$12*A32*1000/(Inputs!$B$21^2)))*Inputs!$B$21^2/Inputs!$B$12)/((Inputs!$B$12*((Inputs!$B$15*(Inputs!$B$12*A32*1000/(Inputs!$B$21^2))^Inputs!$B$16*Inputs!$B$21/Inputs!$B$12))^2/(2*PI())))))</f>
        <v>10.465104439892281</v>
      </c>
      <c r="D32" s="9">
        <f>DEGREES(ATAN((Inputs!$B$13*TANH(Inputs!$B$14*(Inputs!$B$12*A32*1000/(Inputs!$B$22^2)))*Inputs!$B$22^2/Inputs!$B$12)/((Inputs!$B$12*((Inputs!$B$15*(Inputs!$B$12*A32*1000/(Inputs!$B$22^2))^Inputs!$B$16*Inputs!$B$22/Inputs!$B$12))^2/(2*PI())))))</f>
        <v>15.16643173741538</v>
      </c>
      <c r="E32" s="9">
        <f>DEGREES(ATAN((Inputs!$B$13*TANH(Inputs!$B$14*(Inputs!$B$12*A32*1000/(Inputs!$B$23^2)))*Inputs!$B$23^2/Inputs!$B$12)/((Inputs!$B$12*((Inputs!$B$15*(Inputs!$B$12*A32*1000/(Inputs!$B$23^2))^Inputs!$B$16*Inputs!$B$23/Inputs!$B$12))^2/(2*PI())))))</f>
        <v>20.051445042792093</v>
      </c>
    </row>
    <row r="33" spans="1:5" x14ac:dyDescent="0.25">
      <c r="A33" s="4">
        <v>32</v>
      </c>
      <c r="B33" s="9">
        <f>DEGREES(ATAN((Inputs!$B$13*TANH(Inputs!$B$14*(Inputs!$B$12*A33*1000/(Inputs!$B$20^2)))*Inputs!$B$20^2/Inputs!$B$12)/((Inputs!$B$12*((Inputs!$B$15*(Inputs!$B$12*A33*1000/(Inputs!$B$20^2))^Inputs!$B$16*Inputs!$B$20/Inputs!$B$12))^2/(2*PI())))))</f>
        <v>6.0121862505220784</v>
      </c>
      <c r="C33" s="9">
        <f>DEGREES(ATAN((Inputs!$B$13*TANH(Inputs!$B$14*(Inputs!$B$12*A33*1000/(Inputs!$B$21^2)))*Inputs!$B$21^2/Inputs!$B$12)/((Inputs!$B$12*((Inputs!$B$15*(Inputs!$B$12*A33*1000/(Inputs!$B$21^2))^Inputs!$B$16*Inputs!$B$21/Inputs!$B$12))^2/(2*PI())))))</f>
        <v>10.250624832789892</v>
      </c>
      <c r="D33" s="9">
        <f>DEGREES(ATAN((Inputs!$B$13*TANH(Inputs!$B$14*(Inputs!$B$12*A33*1000/(Inputs!$B$22^2)))*Inputs!$B$22^2/Inputs!$B$12)/((Inputs!$B$12*((Inputs!$B$15*(Inputs!$B$12*A33*1000/(Inputs!$B$22^2))^Inputs!$B$16*Inputs!$B$22/Inputs!$B$12))^2/(2*PI())))))</f>
        <v>14.862994458530455</v>
      </c>
      <c r="E33" s="9">
        <f>DEGREES(ATAN((Inputs!$B$13*TANH(Inputs!$B$14*(Inputs!$B$12*A33*1000/(Inputs!$B$23^2)))*Inputs!$B$23^2/Inputs!$B$12)/((Inputs!$B$12*((Inputs!$B$15*(Inputs!$B$12*A33*1000/(Inputs!$B$23^2))^Inputs!$B$16*Inputs!$B$23/Inputs!$B$12))^2/(2*PI())))))</f>
        <v>19.664125314133763</v>
      </c>
    </row>
    <row r="34" spans="1:5" x14ac:dyDescent="0.25">
      <c r="A34" s="4">
        <v>33</v>
      </c>
      <c r="B34" s="9">
        <f>DEGREES(ATAN((Inputs!$B$13*TANH(Inputs!$B$14*(Inputs!$B$12*A34*1000/(Inputs!$B$20^2)))*Inputs!$B$20^2/Inputs!$B$12)/((Inputs!$B$12*((Inputs!$B$15*(Inputs!$B$12*A34*1000/(Inputs!$B$20^2))^Inputs!$B$16*Inputs!$B$20/Inputs!$B$12))^2/(2*PI())))))</f>
        <v>5.8909734488283885</v>
      </c>
      <c r="C34" s="9">
        <f>DEGREES(ATAN((Inputs!$B$13*TANH(Inputs!$B$14*(Inputs!$B$12*A34*1000/(Inputs!$B$21^2)))*Inputs!$B$21^2/Inputs!$B$12)/((Inputs!$B$12*((Inputs!$B$15*(Inputs!$B$12*A34*1000/(Inputs!$B$21^2))^Inputs!$B$16*Inputs!$B$21/Inputs!$B$12))^2/(2*PI())))))</f>
        <v>10.046764187126218</v>
      </c>
      <c r="D34" s="9">
        <f>DEGREES(ATAN((Inputs!$B$13*TANH(Inputs!$B$14*(Inputs!$B$12*A34*1000/(Inputs!$B$22^2)))*Inputs!$B$22^2/Inputs!$B$12)/((Inputs!$B$12*((Inputs!$B$15*(Inputs!$B$12*A34*1000/(Inputs!$B$22^2))^Inputs!$B$16*Inputs!$B$22/Inputs!$B$12))^2/(2*PI())))))</f>
        <v>14.57416955636945</v>
      </c>
      <c r="E34" s="9">
        <f>DEGREES(ATAN((Inputs!$B$13*TANH(Inputs!$B$14*(Inputs!$B$12*A34*1000/(Inputs!$B$23^2)))*Inputs!$B$23^2/Inputs!$B$12)/((Inputs!$B$12*((Inputs!$B$15*(Inputs!$B$12*A34*1000/(Inputs!$B$23^2))^Inputs!$B$16*Inputs!$B$23/Inputs!$B$12))^2/(2*PI())))))</f>
        <v>19.294694094993829</v>
      </c>
    </row>
    <row r="35" spans="1:5" x14ac:dyDescent="0.25">
      <c r="A35" s="4">
        <v>34</v>
      </c>
      <c r="B35" s="9">
        <f>DEGREES(ATAN((Inputs!$B$13*TANH(Inputs!$B$14*(Inputs!$B$12*A35*1000/(Inputs!$B$20^2)))*Inputs!$B$20^2/Inputs!$B$12)/((Inputs!$B$12*((Inputs!$B$15*(Inputs!$B$12*A35*1000/(Inputs!$B$20^2))^Inputs!$B$16*Inputs!$B$20/Inputs!$B$12))^2/(2*PI())))))</f>
        <v>5.7756830083288095</v>
      </c>
      <c r="C35" s="9">
        <f>DEGREES(ATAN((Inputs!$B$13*TANH(Inputs!$B$14*(Inputs!$B$12*A35*1000/(Inputs!$B$21^2)))*Inputs!$B$21^2/Inputs!$B$12)/((Inputs!$B$12*((Inputs!$B$15*(Inputs!$B$12*A35*1000/(Inputs!$B$21^2))^Inputs!$B$16*Inputs!$B$21/Inputs!$B$12))^2/(2*PI())))))</f>
        <v>9.8527078971883064</v>
      </c>
      <c r="D35" s="9">
        <f>DEGREES(ATAN((Inputs!$B$13*TANH(Inputs!$B$14*(Inputs!$B$12*A35*1000/(Inputs!$B$22^2)))*Inputs!$B$22^2/Inputs!$B$12)/((Inputs!$B$12*((Inputs!$B$15*(Inputs!$B$12*A35*1000/(Inputs!$B$22^2))^Inputs!$B$16*Inputs!$B$22/Inputs!$B$12))^2/(2*PI())))))</f>
        <v>14.298869297063666</v>
      </c>
      <c r="E35" s="9">
        <f>DEGREES(ATAN((Inputs!$B$13*TANH(Inputs!$B$14*(Inputs!$B$12*A35*1000/(Inputs!$B$23^2)))*Inputs!$B$23^2/Inputs!$B$12)/((Inputs!$B$12*((Inputs!$B$15*(Inputs!$B$12*A35*1000/(Inputs!$B$23^2))^Inputs!$B$16*Inputs!$B$23/Inputs!$B$12))^2/(2*PI())))))</f>
        <v>18.941885712634878</v>
      </c>
    </row>
    <row r="36" spans="1:5" x14ac:dyDescent="0.25">
      <c r="A36" s="4">
        <v>35</v>
      </c>
      <c r="B36" s="9">
        <f>DEGREES(ATAN((Inputs!$B$13*TANH(Inputs!$B$14*(Inputs!$B$12*A36*1000/(Inputs!$B$20^2)))*Inputs!$B$20^2/Inputs!$B$12)/((Inputs!$B$12*((Inputs!$B$15*(Inputs!$B$12*A36*1000/(Inputs!$B$20^2))^Inputs!$B$16*Inputs!$B$20/Inputs!$B$12))^2/(2*PI())))))</f>
        <v>5.6658655556517505</v>
      </c>
      <c r="C36" s="9">
        <f>DEGREES(ATAN((Inputs!$B$13*TANH(Inputs!$B$14*(Inputs!$B$12*A36*1000/(Inputs!$B$21^2)))*Inputs!$B$21^2/Inputs!$B$12)/((Inputs!$B$12*((Inputs!$B$15*(Inputs!$B$12*A36*1000/(Inputs!$B$21^2))^Inputs!$B$16*Inputs!$B$21/Inputs!$B$12))^2/(2*PI())))))</f>
        <v>9.6677246933838319</v>
      </c>
      <c r="D36" s="9">
        <f>DEGREES(ATAN((Inputs!$B$13*TANH(Inputs!$B$14*(Inputs!$B$12*A36*1000/(Inputs!$B$22^2)))*Inputs!$B$22^2/Inputs!$B$12)/((Inputs!$B$12*((Inputs!$B$15*(Inputs!$B$12*A36*1000/(Inputs!$B$22^2))^Inputs!$B$16*Inputs!$B$22/Inputs!$B$12))^2/(2*PI())))))</f>
        <v>14.036113742474331</v>
      </c>
      <c r="E36" s="9">
        <f>DEGREES(ATAN((Inputs!$B$13*TANH(Inputs!$B$14*(Inputs!$B$12*A36*1000/(Inputs!$B$23^2)))*Inputs!$B$23^2/Inputs!$B$12)/((Inputs!$B$12*((Inputs!$B$15*(Inputs!$B$12*A36*1000/(Inputs!$B$23^2))^Inputs!$B$16*Inputs!$B$23/Inputs!$B$12))^2/(2*PI())))))</f>
        <v>18.604551529252131</v>
      </c>
    </row>
    <row r="37" spans="1:5" x14ac:dyDescent="0.25">
      <c r="A37" s="4">
        <v>36</v>
      </c>
      <c r="B37" s="9">
        <f>DEGREES(ATAN((Inputs!$B$13*TANH(Inputs!$B$14*(Inputs!$B$12*A37*1000/(Inputs!$B$20^2)))*Inputs!$B$20^2/Inputs!$B$12)/((Inputs!$B$12*((Inputs!$B$15*(Inputs!$B$12*A37*1000/(Inputs!$B$20^2))^Inputs!$B$16*Inputs!$B$20/Inputs!$B$12))^2/(2*PI())))))</f>
        <v>5.5611172709955525</v>
      </c>
      <c r="C37" s="9">
        <f>DEGREES(ATAN((Inputs!$B$13*TANH(Inputs!$B$14*(Inputs!$B$12*A37*1000/(Inputs!$B$21^2)))*Inputs!$B$21^2/Inputs!$B$12)/((Inputs!$B$12*((Inputs!$B$15*(Inputs!$B$12*A37*1000/(Inputs!$B$21^2))^Inputs!$B$16*Inputs!$B$21/Inputs!$B$12))^2/(2*PI())))))</f>
        <v>9.4911561053501927</v>
      </c>
      <c r="D37" s="9">
        <f>DEGREES(ATAN((Inputs!$B$13*TANH(Inputs!$B$14*(Inputs!$B$12*A37*1000/(Inputs!$B$22^2)))*Inputs!$B$22^2/Inputs!$B$12)/((Inputs!$B$12*((Inputs!$B$15*(Inputs!$B$12*A37*1000/(Inputs!$B$22^2))^Inputs!$B$16*Inputs!$B$22/Inputs!$B$12))^2/(2*PI())))))</f>
        <v>13.78501756684269</v>
      </c>
      <c r="E37" s="9">
        <f>DEGREES(ATAN((Inputs!$B$13*TANH(Inputs!$B$14*(Inputs!$B$12*A37*1000/(Inputs!$B$23^2)))*Inputs!$B$23^2/Inputs!$B$12)/((Inputs!$B$12*((Inputs!$B$15*(Inputs!$B$12*A37*1000/(Inputs!$B$23^2))^Inputs!$B$16*Inputs!$B$23/Inputs!$B$12))^2/(2*PI())))))</f>
        <v>18.28164711025811</v>
      </c>
    </row>
    <row r="38" spans="1:5" x14ac:dyDescent="0.25">
      <c r="A38" s="4">
        <v>37</v>
      </c>
      <c r="B38" s="9">
        <f>DEGREES(ATAN((Inputs!$B$13*TANH(Inputs!$B$14*(Inputs!$B$12*A38*1000/(Inputs!$B$20^2)))*Inputs!$B$20^2/Inputs!$B$12)/((Inputs!$B$12*((Inputs!$B$15*(Inputs!$B$12*A38*1000/(Inputs!$B$20^2))^Inputs!$B$16*Inputs!$B$20/Inputs!$B$12))^2/(2*PI())))))</f>
        <v>5.4610741723980043</v>
      </c>
      <c r="C38" s="9">
        <f>DEGREES(ATAN((Inputs!$B$13*TANH(Inputs!$B$14*(Inputs!$B$12*A38*1000/(Inputs!$B$21^2)))*Inputs!$B$21^2/Inputs!$B$12)/((Inputs!$B$12*((Inputs!$B$15*(Inputs!$B$12*A38*1000/(Inputs!$B$21^2))^Inputs!$B$16*Inputs!$B$21/Inputs!$B$12))^2/(2*PI())))))</f>
        <v>9.3224074977206346</v>
      </c>
      <c r="D38" s="9">
        <f>DEGREES(ATAN((Inputs!$B$13*TANH(Inputs!$B$14*(Inputs!$B$12*A38*1000/(Inputs!$B$22^2)))*Inputs!$B$22^2/Inputs!$B$12)/((Inputs!$B$12*((Inputs!$B$15*(Inputs!$B$12*A38*1000/(Inputs!$B$22^2))^Inputs!$B$16*Inputs!$B$22/Inputs!$B$12))^2/(2*PI())))))</f>
        <v>13.54477877333524</v>
      </c>
      <c r="E38" s="9">
        <f>DEGREES(ATAN((Inputs!$B$13*TANH(Inputs!$B$14*(Inputs!$B$12*A38*1000/(Inputs!$B$23^2)))*Inputs!$B$23^2/Inputs!$B$12)/((Inputs!$B$12*((Inputs!$B$15*(Inputs!$B$12*A38*1000/(Inputs!$B$23^2))^Inputs!$B$16*Inputs!$B$23/Inputs!$B$12))^2/(2*PI())))))</f>
        <v>17.972220915200694</v>
      </c>
    </row>
    <row r="39" spans="1:5" x14ac:dyDescent="0.25">
      <c r="A39" s="4">
        <v>38</v>
      </c>
      <c r="B39" s="9">
        <f>DEGREES(ATAN((Inputs!$B$13*TANH(Inputs!$B$14*(Inputs!$B$12*A39*1000/(Inputs!$B$20^2)))*Inputs!$B$20^2/Inputs!$B$12)/((Inputs!$B$12*((Inputs!$B$15*(Inputs!$B$12*A39*1000/(Inputs!$B$20^2))^Inputs!$B$16*Inputs!$B$20/Inputs!$B$12))^2/(2*PI())))))</f>
        <v>5.3654072476287684</v>
      </c>
      <c r="C39" s="9">
        <f>DEGREES(ATAN((Inputs!$B$13*TANH(Inputs!$B$14*(Inputs!$B$12*A39*1000/(Inputs!$B$21^2)))*Inputs!$B$21^2/Inputs!$B$12)/((Inputs!$B$12*((Inputs!$B$15*(Inputs!$B$12*A39*1000/(Inputs!$B$21^2))^Inputs!$B$16*Inputs!$B$21/Inputs!$B$12))^2/(2*PI())))))</f>
        <v>9.1609404098466509</v>
      </c>
      <c r="D39" s="9">
        <f>DEGREES(ATAN((Inputs!$B$13*TANH(Inputs!$B$14*(Inputs!$B$12*A39*1000/(Inputs!$B$22^2)))*Inputs!$B$22^2/Inputs!$B$12)/((Inputs!$B$12*((Inputs!$B$15*(Inputs!$B$12*A39*1000/(Inputs!$B$22^2))^Inputs!$B$16*Inputs!$B$22/Inputs!$B$12))^2/(2*PI())))))</f>
        <v>13.314668997918385</v>
      </c>
      <c r="E39" s="9">
        <f>DEGREES(ATAN((Inputs!$B$13*TANH(Inputs!$B$14*(Inputs!$B$12*A39*1000/(Inputs!$B$23^2)))*Inputs!$B$23^2/Inputs!$B$12)/((Inputs!$B$12*((Inputs!$B$15*(Inputs!$B$12*A39*1000/(Inputs!$B$23^2))^Inputs!$B$16*Inputs!$B$23/Inputs!$B$12))^2/(2*PI())))))</f>
        <v>17.675404342223178</v>
      </c>
    </row>
    <row r="40" spans="1:5" x14ac:dyDescent="0.25">
      <c r="A40" s="4">
        <v>39</v>
      </c>
      <c r="B40" s="9">
        <f>DEGREES(ATAN((Inputs!$B$13*TANH(Inputs!$B$14*(Inputs!$B$12*A40*1000/(Inputs!$B$20^2)))*Inputs!$B$20^2/Inputs!$B$12)/((Inputs!$B$12*((Inputs!$B$15*(Inputs!$B$12*A40*1000/(Inputs!$B$20^2))^Inputs!$B$16*Inputs!$B$20/Inputs!$B$12))^2/(2*PI())))))</f>
        <v>5.2738182896561376</v>
      </c>
      <c r="C40" s="9">
        <f>DEGREES(ATAN((Inputs!$B$13*TANH(Inputs!$B$14*(Inputs!$B$12*A40*1000/(Inputs!$B$21^2)))*Inputs!$B$21^2/Inputs!$B$12)/((Inputs!$B$12*((Inputs!$B$15*(Inputs!$B$12*A40*1000/(Inputs!$B$21^2))^Inputs!$B$16*Inputs!$B$21/Inputs!$B$12))^2/(2*PI())))))</f>
        <v>9.0062659821927813</v>
      </c>
      <c r="D40" s="9">
        <f>DEGREES(ATAN((Inputs!$B$13*TANH(Inputs!$B$14*(Inputs!$B$12*A40*1000/(Inputs!$B$22^2)))*Inputs!$B$22^2/Inputs!$B$12)/((Inputs!$B$12*((Inputs!$B$15*(Inputs!$B$12*A40*1000/(Inputs!$B$22^2))^Inputs!$B$16*Inputs!$B$22/Inputs!$B$12))^2/(2*PI())))))</f>
        <v>13.094025145299687</v>
      </c>
      <c r="E40" s="9">
        <f>DEGREES(ATAN((Inputs!$B$13*TANH(Inputs!$B$14*(Inputs!$B$12*A40*1000/(Inputs!$B$23^2)))*Inputs!$B$23^2/Inputs!$B$12)/((Inputs!$B$12*((Inputs!$B$15*(Inputs!$B$12*A40*1000/(Inputs!$B$23^2))^Inputs!$B$16*Inputs!$B$23/Inputs!$B$12))^2/(2*PI())))))</f>
        <v>17.390402966409926</v>
      </c>
    </row>
    <row r="41" spans="1:5" x14ac:dyDescent="0.25">
      <c r="A41" s="4">
        <v>40</v>
      </c>
      <c r="B41" s="9">
        <f>DEGREES(ATAN((Inputs!$B$13*TANH(Inputs!$B$14*(Inputs!$B$12*A41*1000/(Inputs!$B$20^2)))*Inputs!$B$20^2/Inputs!$B$12)/((Inputs!$B$12*((Inputs!$B$15*(Inputs!$B$12*A41*1000/(Inputs!$B$20^2))^Inputs!$B$16*Inputs!$B$20/Inputs!$B$12))^2/(2*PI())))))</f>
        <v>5.1860363190816603</v>
      </c>
      <c r="C41" s="9">
        <f>DEGREES(ATAN((Inputs!$B$13*TANH(Inputs!$B$14*(Inputs!$B$12*A41*1000/(Inputs!$B$21^2)))*Inputs!$B$21^2/Inputs!$B$12)/((Inputs!$B$12*((Inputs!$B$15*(Inputs!$B$12*A41*1000/(Inputs!$B$21^2))^Inputs!$B$16*Inputs!$B$21/Inputs!$B$12))^2/(2*PI())))))</f>
        <v>8.8579392926967309</v>
      </c>
      <c r="D41" s="9">
        <f>DEGREES(ATAN((Inputs!$B$13*TANH(Inputs!$B$14*(Inputs!$B$12*A41*1000/(Inputs!$B$22^2)))*Inputs!$B$22^2/Inputs!$B$12)/((Inputs!$B$12*((Inputs!$B$15*(Inputs!$B$12*A41*1000/(Inputs!$B$22^2))^Inputs!$B$16*Inputs!$B$22/Inputs!$B$12))^2/(2*PI())))))</f>
        <v>12.882242147505901</v>
      </c>
      <c r="E41" s="9">
        <f>DEGREES(ATAN((Inputs!$B$13*TANH(Inputs!$B$14*(Inputs!$B$12*A41*1000/(Inputs!$B$23^2)))*Inputs!$B$23^2/Inputs!$B$12)/((Inputs!$B$12*((Inputs!$B$15*(Inputs!$B$12*A41*1000/(Inputs!$B$23^2))^Inputs!$B$16*Inputs!$B$23/Inputs!$B$12))^2/(2*PI())))))</f>
        <v>17.116488825799951</v>
      </c>
    </row>
    <row r="42" spans="1:5" x14ac:dyDescent="0.25">
      <c r="A42" s="4">
        <v>41</v>
      </c>
      <c r="B42" s="9">
        <f>DEGREES(ATAN((Inputs!$B$13*TANH(Inputs!$B$14*(Inputs!$B$12*A42*1000/(Inputs!$B$20^2)))*Inputs!$B$20^2/Inputs!$B$12)/((Inputs!$B$12*((Inputs!$B$15*(Inputs!$B$12*A42*1000/(Inputs!$B$20^2))^Inputs!$B$16*Inputs!$B$20/Inputs!$B$12))^2/(2*PI())))))</f>
        <v>5.1018144986137086</v>
      </c>
      <c r="C42" s="9">
        <f>DEGREES(ATAN((Inputs!$B$13*TANH(Inputs!$B$14*(Inputs!$B$12*A42*1000/(Inputs!$B$21^2)))*Inputs!$B$21^2/Inputs!$B$12)/((Inputs!$B$12*((Inputs!$B$15*(Inputs!$B$12*A42*1000/(Inputs!$B$21^2))^Inputs!$B$16*Inputs!$B$21/Inputs!$B$12))^2/(2*PI())))))</f>
        <v>8.7155544586106171</v>
      </c>
      <c r="D42" s="9">
        <f>DEGREES(ATAN((Inputs!$B$13*TANH(Inputs!$B$14*(Inputs!$B$12*A42*1000/(Inputs!$B$22^2)))*Inputs!$B$22^2/Inputs!$B$12)/((Inputs!$B$12*((Inputs!$B$15*(Inputs!$B$12*A42*1000/(Inputs!$B$22^2))^Inputs!$B$16*Inputs!$B$22/Inputs!$B$12))^2/(2*PI())))))</f>
        <v>12.678766672491248</v>
      </c>
      <c r="E42" s="9">
        <f>DEGREES(ATAN((Inputs!$B$13*TANH(Inputs!$B$14*(Inputs!$B$12*A42*1000/(Inputs!$B$23^2)))*Inputs!$B$23^2/Inputs!$B$12)/((Inputs!$B$12*((Inputs!$B$15*(Inputs!$B$12*A42*1000/(Inputs!$B$23^2))^Inputs!$B$16*Inputs!$B$23/Inputs!$B$12))^2/(2*PI())))))</f>
        <v>16.852993623787913</v>
      </c>
    </row>
    <row r="43" spans="1:5" x14ac:dyDescent="0.25">
      <c r="A43" s="4">
        <v>42</v>
      </c>
      <c r="B43" s="9">
        <f>DEGREES(ATAN((Inputs!$B$13*TANH(Inputs!$B$14*(Inputs!$B$12*A43*1000/(Inputs!$B$20^2)))*Inputs!$B$20^2/Inputs!$B$12)/((Inputs!$B$12*((Inputs!$B$15*(Inputs!$B$12*A43*1000/(Inputs!$B$20^2))^Inputs!$B$16*Inputs!$B$20/Inputs!$B$12))^2/(2*PI())))))</f>
        <v>5.0209274618824109</v>
      </c>
      <c r="C43" s="9">
        <f>DEGREES(ATAN((Inputs!$B$13*TANH(Inputs!$B$14*(Inputs!$B$12*A43*1000/(Inputs!$B$21^2)))*Inputs!$B$21^2/Inputs!$B$12)/((Inputs!$B$12*((Inputs!$B$15*(Inputs!$B$12*A43*1000/(Inputs!$B$21^2))^Inputs!$B$16*Inputs!$B$21/Inputs!$B$12))^2/(2*PI())))))</f>
        <v>8.5787403850802519</v>
      </c>
      <c r="D43" s="9">
        <f>DEGREES(ATAN((Inputs!$B$13*TANH(Inputs!$B$14*(Inputs!$B$12*A43*1000/(Inputs!$B$22^2)))*Inputs!$B$22^2/Inputs!$B$12)/((Inputs!$B$12*((Inputs!$B$15*(Inputs!$B$12*A43*1000/(Inputs!$B$22^2))^Inputs!$B$16*Inputs!$B$22/Inputs!$B$12))^2/(2*PI())))))</f>
        <v>12.48309163988497</v>
      </c>
      <c r="E43" s="9">
        <f>DEGREES(ATAN((Inputs!$B$13*TANH(Inputs!$B$14*(Inputs!$B$12*A43*1000/(Inputs!$B$23^2)))*Inputs!$B$23^2/Inputs!$B$12)/((Inputs!$B$12*((Inputs!$B$15*(Inputs!$B$12*A43*1000/(Inputs!$B$23^2))^Inputs!$B$16*Inputs!$B$23/Inputs!$B$12))^2/(2*PI())))))</f>
        <v>16.599302731602613</v>
      </c>
    </row>
    <row r="44" spans="1:5" x14ac:dyDescent="0.25">
      <c r="A44" s="4">
        <v>43</v>
      </c>
      <c r="B44" s="9">
        <f>DEGREES(ATAN((Inputs!$B$13*TANH(Inputs!$B$14*(Inputs!$B$12*A44*1000/(Inputs!$B$20^2)))*Inputs!$B$20^2/Inputs!$B$12)/((Inputs!$B$12*((Inputs!$B$15*(Inputs!$B$12*A44*1000/(Inputs!$B$20^2))^Inputs!$B$16*Inputs!$B$20/Inputs!$B$12))^2/(2*PI())))))</f>
        <v>4.9431689926766085</v>
      </c>
      <c r="C44" s="9">
        <f>DEGREES(ATAN((Inputs!$B$13*TANH(Inputs!$B$14*(Inputs!$B$12*A44*1000/(Inputs!$B$21^2)))*Inputs!$B$21^2/Inputs!$B$12)/((Inputs!$B$12*((Inputs!$B$15*(Inputs!$B$12*A44*1000/(Inputs!$B$21^2))^Inputs!$B$16*Inputs!$B$21/Inputs!$B$12))^2/(2*PI())))))</f>
        <v>8.4471570623992029</v>
      </c>
      <c r="D44" s="9">
        <f>DEGREES(ATAN((Inputs!$B$13*TANH(Inputs!$B$14*(Inputs!$B$12*A44*1000/(Inputs!$B$22^2)))*Inputs!$B$22^2/Inputs!$B$12)/((Inputs!$B$12*((Inputs!$B$15*(Inputs!$B$12*A44*1000/(Inputs!$B$22^2))^Inputs!$B$16*Inputs!$B$22/Inputs!$B$12))^2/(2*PI())))))</f>
        <v>12.294751425077205</v>
      </c>
      <c r="E44" s="9">
        <f>DEGREES(ATAN((Inputs!$B$13*TANH(Inputs!$B$14*(Inputs!$B$12*A44*1000/(Inputs!$B$23^2)))*Inputs!$B$23^2/Inputs!$B$12)/((Inputs!$B$12*((Inputs!$B$15*(Inputs!$B$12*A44*1000/(Inputs!$B$23^2))^Inputs!$B$16*Inputs!$B$23/Inputs!$B$12))^2/(2*PI())))))</f>
        <v>16.354849888741942</v>
      </c>
    </row>
    <row r="45" spans="1:5" x14ac:dyDescent="0.25">
      <c r="A45" s="4">
        <v>44</v>
      </c>
      <c r="B45" s="9">
        <f>DEGREES(ATAN((Inputs!$B$13*TANH(Inputs!$B$14*(Inputs!$B$12*A45*1000/(Inputs!$B$20^2)))*Inputs!$B$20^2/Inputs!$B$12)/((Inputs!$B$12*((Inputs!$B$15*(Inputs!$B$12*A45*1000/(Inputs!$B$20^2))^Inputs!$B$16*Inputs!$B$20/Inputs!$B$12))^2/(2*PI())))))</f>
        <v>4.8683500017633312</v>
      </c>
      <c r="C45" s="9">
        <f>DEGREES(ATAN((Inputs!$B$13*TANH(Inputs!$B$14*(Inputs!$B$12*A45*1000/(Inputs!$B$21^2)))*Inputs!$B$21^2/Inputs!$B$12)/((Inputs!$B$12*((Inputs!$B$15*(Inputs!$B$12*A45*1000/(Inputs!$B$21^2))^Inputs!$B$16*Inputs!$B$21/Inputs!$B$12))^2/(2*PI())))))</f>
        <v>8.3204923305765668</v>
      </c>
      <c r="D45" s="9">
        <f>DEGREES(ATAN((Inputs!$B$13*TANH(Inputs!$B$14*(Inputs!$B$12*A45*1000/(Inputs!$B$22^2)))*Inputs!$B$22^2/Inputs!$B$12)/((Inputs!$B$12*((Inputs!$B$15*(Inputs!$B$12*A45*1000/(Inputs!$B$22^2))^Inputs!$B$16*Inputs!$B$22/Inputs!$B$12))^2/(2*PI())))))</f>
        <v>12.11331765246023</v>
      </c>
      <c r="E45" s="9">
        <f>DEGREES(ATAN((Inputs!$B$13*TANH(Inputs!$B$14*(Inputs!$B$12*A45*1000/(Inputs!$B$23^2)))*Inputs!$B$23^2/Inputs!$B$12)/((Inputs!$B$12*((Inputs!$B$15*(Inputs!$B$12*A45*1000/(Inputs!$B$23^2))^Inputs!$B$16*Inputs!$B$23/Inputs!$B$12))^2/(2*PI())))))</f>
        <v>16.119112512244754</v>
      </c>
    </row>
    <row r="46" spans="1:5" x14ac:dyDescent="0.25">
      <c r="A46" s="4">
        <v>45</v>
      </c>
      <c r="B46" s="9">
        <f>DEGREES(ATAN((Inputs!$B$13*TANH(Inputs!$B$14*(Inputs!$B$12*A46*1000/(Inputs!$B$20^2)))*Inputs!$B$20^2/Inputs!$B$12)/((Inputs!$B$12*((Inputs!$B$15*(Inputs!$B$12*A46*1000/(Inputs!$B$20^2))^Inputs!$B$16*Inputs!$B$20/Inputs!$B$12))^2/(2*PI())))))</f>
        <v>4.7962967574070436</v>
      </c>
      <c r="C46" s="9">
        <f>DEGREES(ATAN((Inputs!$B$13*TANH(Inputs!$B$14*(Inputs!$B$12*A46*1000/(Inputs!$B$21^2)))*Inputs!$B$21^2/Inputs!$B$12)/((Inputs!$B$12*((Inputs!$B$15*(Inputs!$B$12*A46*1000/(Inputs!$B$21^2))^Inputs!$B$16*Inputs!$B$21/Inputs!$B$12))^2/(2*PI())))))</f>
        <v>8.1984590434167917</v>
      </c>
      <c r="D46" s="9">
        <f>DEGREES(ATAN((Inputs!$B$13*TANH(Inputs!$B$14*(Inputs!$B$12*A46*1000/(Inputs!$B$22^2)))*Inputs!$B$22^2/Inputs!$B$12)/((Inputs!$B$12*((Inputs!$B$15*(Inputs!$B$12*A46*1000/(Inputs!$B$22^2))^Inputs!$B$16*Inputs!$B$22/Inputs!$B$12))^2/(2*PI())))))</f>
        <v>11.938395494686755</v>
      </c>
      <c r="E46" s="9">
        <f>DEGREES(ATAN((Inputs!$B$13*TANH(Inputs!$B$14*(Inputs!$B$12*A46*1000/(Inputs!$B$23^2)))*Inputs!$B$23^2/Inputs!$B$12)/((Inputs!$B$12*((Inputs!$B$15*(Inputs!$B$12*A46*1000/(Inputs!$B$23^2))^Inputs!$B$16*Inputs!$B$23/Inputs!$B$12))^2/(2*PI())))))</f>
        <v>15.891607537335551</v>
      </c>
    </row>
    <row r="47" spans="1:5" x14ac:dyDescent="0.25">
      <c r="A47" s="4">
        <v>46</v>
      </c>
      <c r="B47" s="9">
        <f>DEGREES(ATAN((Inputs!$B$13*TANH(Inputs!$B$14*(Inputs!$B$12*A47*1000/(Inputs!$B$20^2)))*Inputs!$B$20^2/Inputs!$B$12)/((Inputs!$B$12*((Inputs!$B$15*(Inputs!$B$12*A47*1000/(Inputs!$B$20^2))^Inputs!$B$16*Inputs!$B$20/Inputs!$B$12))^2/(2*PI())))))</f>
        <v>4.726849332984818</v>
      </c>
      <c r="C47" s="9">
        <f>DEGREES(ATAN((Inputs!$B$13*TANH(Inputs!$B$14*(Inputs!$B$12*A47*1000/(Inputs!$B$21^2)))*Inputs!$B$21^2/Inputs!$B$12)/((Inputs!$B$12*((Inputs!$B$15*(Inputs!$B$12*A47*1000/(Inputs!$B$21^2))^Inputs!$B$16*Inputs!$B$21/Inputs!$B$12))^2/(2*PI())))))</f>
        <v>8.0807925753712091</v>
      </c>
      <c r="D47" s="9">
        <f>DEGREES(ATAN((Inputs!$B$13*TANH(Inputs!$B$14*(Inputs!$B$12*A47*1000/(Inputs!$B$22^2)))*Inputs!$B$22^2/Inputs!$B$12)/((Inputs!$B$12*((Inputs!$B$15*(Inputs!$B$12*A47*1000/(Inputs!$B$22^2))^Inputs!$B$16*Inputs!$B$22/Inputs!$B$12))^2/(2*PI())))))</f>
        <v>11.769620407988288</v>
      </c>
      <c r="E47" s="9">
        <f>DEGREES(ATAN((Inputs!$B$13*TANH(Inputs!$B$14*(Inputs!$B$12*A47*1000/(Inputs!$B$23^2)))*Inputs!$B$23^2/Inputs!$B$12)/((Inputs!$B$12*((Inputs!$B$15*(Inputs!$B$12*A47*1000/(Inputs!$B$23^2))^Inputs!$B$16*Inputs!$B$23/Inputs!$B$12))^2/(2*PI())))))</f>
        <v>15.671887722273814</v>
      </c>
    </row>
    <row r="48" spans="1:5" x14ac:dyDescent="0.25">
      <c r="A48" s="4">
        <v>47</v>
      </c>
      <c r="B48" s="9">
        <f>DEGREES(ATAN((Inputs!$B$13*TANH(Inputs!$B$14*(Inputs!$B$12*A48*1000/(Inputs!$B$20^2)))*Inputs!$B$20^2/Inputs!$B$12)/((Inputs!$B$12*((Inputs!$B$15*(Inputs!$B$12*A48*1000/(Inputs!$B$20^2))^Inputs!$B$16*Inputs!$B$20/Inputs!$B$12))^2/(2*PI())))))</f>
        <v>4.6598602410361796</v>
      </c>
      <c r="C48" s="9">
        <f>DEGREES(ATAN((Inputs!$B$13*TANH(Inputs!$B$14*(Inputs!$B$12*A48*1000/(Inputs!$B$21^2)))*Inputs!$B$21^2/Inputs!$B$12)/((Inputs!$B$12*((Inputs!$B$15*(Inputs!$B$12*A48*1000/(Inputs!$B$21^2))^Inputs!$B$16*Inputs!$B$21/Inputs!$B$12))^2/(2*PI())))))</f>
        <v>7.9672486234865429</v>
      </c>
      <c r="D48" s="9">
        <f>DEGREES(ATAN((Inputs!$B$13*TANH(Inputs!$B$14*(Inputs!$B$12*A48*1000/(Inputs!$B$22^2)))*Inputs!$B$22^2/Inputs!$B$12)/((Inputs!$B$12*((Inputs!$B$15*(Inputs!$B$12*A48*1000/(Inputs!$B$22^2))^Inputs!$B$16*Inputs!$B$22/Inputs!$B$12))^2/(2*PI())))))</f>
        <v>11.606655244468179</v>
      </c>
      <c r="E48" s="9">
        <f>DEGREES(ATAN((Inputs!$B$13*TANH(Inputs!$B$14*(Inputs!$B$12*A48*1000/(Inputs!$B$23^2)))*Inputs!$B$23^2/Inputs!$B$12)/((Inputs!$B$12*((Inputs!$B$15*(Inputs!$B$12*A48*1000/(Inputs!$B$23^2))^Inputs!$B$16*Inputs!$B$23/Inputs!$B$12))^2/(2*PI())))))</f>
        <v>15.459538359244661</v>
      </c>
    </row>
    <row r="49" spans="1:5" x14ac:dyDescent="0.25">
      <c r="A49" s="4">
        <v>48</v>
      </c>
      <c r="B49" s="9">
        <f>DEGREES(ATAN((Inputs!$B$13*TANH(Inputs!$B$14*(Inputs!$B$12*A49*1000/(Inputs!$B$20^2)))*Inputs!$B$20^2/Inputs!$B$12)/((Inputs!$B$12*((Inputs!$B$15*(Inputs!$B$12*A49*1000/(Inputs!$B$20^2))^Inputs!$B$16*Inputs!$B$20/Inputs!$B$12))^2/(2*PI())))))</f>
        <v>4.5951932279616914</v>
      </c>
      <c r="C49" s="9">
        <f>DEGREES(ATAN((Inputs!$B$13*TANH(Inputs!$B$14*(Inputs!$B$12*A49*1000/(Inputs!$B$21^2)))*Inputs!$B$21^2/Inputs!$B$12)/((Inputs!$B$12*((Inputs!$B$15*(Inputs!$B$12*A49*1000/(Inputs!$B$21^2))^Inputs!$B$16*Inputs!$B$21/Inputs!$B$12))^2/(2*PI())))))</f>
        <v>7.8576012642385171</v>
      </c>
      <c r="D49" s="9">
        <f>DEGREES(ATAN((Inputs!$B$13*TANH(Inputs!$B$14*(Inputs!$B$12*A49*1000/(Inputs!$B$22^2)))*Inputs!$B$22^2/Inputs!$B$12)/((Inputs!$B$12*((Inputs!$B$15*(Inputs!$B$12*A49*1000/(Inputs!$B$22^2))^Inputs!$B$16*Inputs!$B$22/Inputs!$B$12))^2/(2*PI())))))</f>
        <v>11.449187691289149</v>
      </c>
      <c r="E49" s="9">
        <f>DEGREES(ATAN((Inputs!$B$13*TANH(Inputs!$B$14*(Inputs!$B$12*A49*1000/(Inputs!$B$23^2)))*Inputs!$B$23^2/Inputs!$B$12)/((Inputs!$B$12*((Inputs!$B$15*(Inputs!$B$12*A49*1000/(Inputs!$B$23^2))^Inputs!$B$16*Inputs!$B$23/Inputs!$B$12))^2/(2*PI())))))</f>
        <v>15.254174340947996</v>
      </c>
    </row>
    <row r="50" spans="1:5" x14ac:dyDescent="0.25">
      <c r="A50" s="4">
        <v>49</v>
      </c>
      <c r="B50" s="9">
        <f>DEGREES(ATAN((Inputs!$B$13*TANH(Inputs!$B$14*(Inputs!$B$12*A50*1000/(Inputs!$B$20^2)))*Inputs!$B$20^2/Inputs!$B$12)/((Inputs!$B$12*((Inputs!$B$15*(Inputs!$B$12*A50*1000/(Inputs!$B$20^2))^Inputs!$B$16*Inputs!$B$20/Inputs!$B$12))^2/(2*PI())))))</f>
        <v>4.5327222076011857</v>
      </c>
      <c r="C50" s="9">
        <f>DEGREES(ATAN((Inputs!$B$13*TANH(Inputs!$B$14*(Inputs!$B$12*A50*1000/(Inputs!$B$21^2)))*Inputs!$B$21^2/Inputs!$B$12)/((Inputs!$B$12*((Inputs!$B$15*(Inputs!$B$12*A50*1000/(Inputs!$B$21^2))^Inputs!$B$16*Inputs!$B$21/Inputs!$B$12))^2/(2*PI())))))</f>
        <v>7.7516412312086445</v>
      </c>
      <c r="D50" s="9">
        <f>DEGREES(ATAN((Inputs!$B$13*TANH(Inputs!$B$14*(Inputs!$B$12*A50*1000/(Inputs!$B$22^2)))*Inputs!$B$22^2/Inputs!$B$12)/((Inputs!$B$12*((Inputs!$B$15*(Inputs!$B$12*A50*1000/(Inputs!$B$22^2))^Inputs!$B$16*Inputs!$B$22/Inputs!$B$12))^2/(2*PI())))))</f>
        <v>11.296927994161372</v>
      </c>
      <c r="E50" s="9">
        <f>DEGREES(ATAN((Inputs!$B$13*TANH(Inputs!$B$14*(Inputs!$B$12*A50*1000/(Inputs!$B$23^2)))*Inputs!$B$23^2/Inputs!$B$12)/((Inputs!$B$12*((Inputs!$B$15*(Inputs!$B$12*A50*1000/(Inputs!$B$23^2))^Inputs!$B$16*Inputs!$B$23/Inputs!$B$12))^2/(2*PI())))))</f>
        <v>15.055437539305144</v>
      </c>
    </row>
    <row r="51" spans="1:5" x14ac:dyDescent="0.25">
      <c r="A51" s="4">
        <v>50</v>
      </c>
      <c r="B51" s="9">
        <f>DEGREES(ATAN((Inputs!$B$13*TANH(Inputs!$B$14*(Inputs!$B$12*A51*1000/(Inputs!$B$20^2)))*Inputs!$B$20^2/Inputs!$B$12)/((Inputs!$B$12*((Inputs!$B$15*(Inputs!$B$12*A51*1000/(Inputs!$B$20^2))^Inputs!$B$16*Inputs!$B$20/Inputs!$B$12))^2/(2*PI())))))</f>
        <v>4.4723303152465217</v>
      </c>
      <c r="C51" s="9">
        <f>DEGREES(ATAN((Inputs!$B$13*TANH(Inputs!$B$14*(Inputs!$B$12*A51*1000/(Inputs!$B$21^2)))*Inputs!$B$21^2/Inputs!$B$12)/((Inputs!$B$12*((Inputs!$B$15*(Inputs!$B$12*A51*1000/(Inputs!$B$21^2))^Inputs!$B$16*Inputs!$B$21/Inputs!$B$12))^2/(2*PI())))))</f>
        <v>7.6491743846837172</v>
      </c>
      <c r="D51" s="9">
        <f>DEGREES(ATAN((Inputs!$B$13*TANH(Inputs!$B$14*(Inputs!$B$12*A51*1000/(Inputs!$B$22^2)))*Inputs!$B$22^2/Inputs!$B$12)/((Inputs!$B$12*((Inputs!$B$15*(Inputs!$B$12*A51*1000/(Inputs!$B$22^2))^Inputs!$B$16*Inputs!$B$22/Inputs!$B$12))^2/(2*PI())))))</f>
        <v>11.149606928785373</v>
      </c>
      <c r="E51" s="9">
        <f>DEGREES(ATAN((Inputs!$B$13*TANH(Inputs!$B$14*(Inputs!$B$12*A51*1000/(Inputs!$B$23^2)))*Inputs!$B$23^2/Inputs!$B$12)/((Inputs!$B$12*((Inputs!$B$15*(Inputs!$B$12*A51*1000/(Inputs!$B$23^2))^Inputs!$B$16*Inputs!$B$23/Inputs!$B$12))^2/(2*PI())))))</f>
        <v>14.862994458530455</v>
      </c>
    </row>
    <row r="52" spans="1:5" x14ac:dyDescent="0.25">
      <c r="A52" s="4">
        <v>51</v>
      </c>
      <c r="B52" s="9">
        <f>DEGREES(ATAN((Inputs!$B$13*TANH(Inputs!$B$14*(Inputs!$B$12*A52*1000/(Inputs!$B$20^2)))*Inputs!$B$20^2/Inputs!$B$12)/((Inputs!$B$12*((Inputs!$B$15*(Inputs!$B$12*A52*1000/(Inputs!$B$20^2))^Inputs!$B$16*Inputs!$B$20/Inputs!$B$12))^2/(2*PI())))))</f>
        <v>4.4139090664050027</v>
      </c>
      <c r="C52" s="9">
        <f>DEGREES(ATAN((Inputs!$B$13*TANH(Inputs!$B$14*(Inputs!$B$12*A52*1000/(Inputs!$B$21^2)))*Inputs!$B$21^2/Inputs!$B$12)/((Inputs!$B$12*((Inputs!$B$15*(Inputs!$B$12*A52*1000/(Inputs!$B$21^2))^Inputs!$B$16*Inputs!$B$21/Inputs!$B$12))^2/(2*PI())))))</f>
        <v>7.5500203485252682</v>
      </c>
      <c r="D52" s="9">
        <f>DEGREES(ATAN((Inputs!$B$13*TANH(Inputs!$B$14*(Inputs!$B$12*A52*1000/(Inputs!$B$22^2)))*Inputs!$B$22^2/Inputs!$B$12)/((Inputs!$B$12*((Inputs!$B$15*(Inputs!$B$12*A52*1000/(Inputs!$B$22^2))^Inputs!$B$16*Inputs!$B$22/Inputs!$B$12))^2/(2*PI())))))</f>
        <v>11.006973989137709</v>
      </c>
      <c r="E52" s="9">
        <f>DEGREES(ATAN((Inputs!$B$13*TANH(Inputs!$B$14*(Inputs!$B$12*A52*1000/(Inputs!$B$23^2)))*Inputs!$B$23^2/Inputs!$B$12)/((Inputs!$B$12*((Inputs!$B$15*(Inputs!$B$12*A52*1000/(Inputs!$B$23^2))^Inputs!$B$16*Inputs!$B$23/Inputs!$B$12))^2/(2*PI())))))</f>
        <v>14.676534129830445</v>
      </c>
    </row>
    <row r="53" spans="1:5" x14ac:dyDescent="0.25">
      <c r="A53" s="4">
        <v>52</v>
      </c>
      <c r="B53" s="9">
        <f>DEGREES(ATAN((Inputs!$B$13*TANH(Inputs!$B$14*(Inputs!$B$12*A53*1000/(Inputs!$B$20^2)))*Inputs!$B$20^2/Inputs!$B$12)/((Inputs!$B$12*((Inputs!$B$15*(Inputs!$B$12*A53*1000/(Inputs!$B$20^2))^Inputs!$B$16*Inputs!$B$20/Inputs!$B$12))^2/(2*PI())))))</f>
        <v>4.3573576069329043</v>
      </c>
      <c r="C53" s="9">
        <f>DEGREES(ATAN((Inputs!$B$13*TANH(Inputs!$B$14*(Inputs!$B$12*A53*1000/(Inputs!$B$21^2)))*Inputs!$B$21^2/Inputs!$B$12)/((Inputs!$B$12*((Inputs!$B$15*(Inputs!$B$12*A53*1000/(Inputs!$B$21^2))^Inputs!$B$16*Inputs!$B$21/Inputs!$B$12))^2/(2*PI())))))</f>
        <v>7.4540112932265039</v>
      </c>
      <c r="D53" s="9">
        <f>DEGREES(ATAN((Inputs!$B$13*TANH(Inputs!$B$14*(Inputs!$B$12*A53*1000/(Inputs!$B$22^2)))*Inputs!$B$22^2/Inputs!$B$12)/((Inputs!$B$12*((Inputs!$B$15*(Inputs!$B$12*A53*1000/(Inputs!$B$22^2))^Inputs!$B$16*Inputs!$B$22/Inputs!$B$12))^2/(2*PI())))))</f>
        <v>10.868795765885501</v>
      </c>
      <c r="E53" s="9">
        <f>DEGREES(ATAN((Inputs!$B$13*TANH(Inputs!$B$14*(Inputs!$B$12*A53*1000/(Inputs!$B$23^2)))*Inputs!$B$23^2/Inputs!$B$12)/((Inputs!$B$12*((Inputs!$B$15*(Inputs!$B$12*A53*1000/(Inputs!$B$23^2))^Inputs!$B$16*Inputs!$B$23/Inputs!$B$12))^2/(2*PI())))))</f>
        <v>14.49576621930489</v>
      </c>
    </row>
    <row r="54" spans="1:5" x14ac:dyDescent="0.25">
      <c r="A54" s="4">
        <v>53</v>
      </c>
      <c r="B54" s="9">
        <f>DEGREES(ATAN((Inputs!$B$13*TANH(Inputs!$B$14*(Inputs!$B$12*A54*1000/(Inputs!$B$20^2)))*Inputs!$B$20^2/Inputs!$B$12)/((Inputs!$B$12*((Inputs!$B$15*(Inputs!$B$12*A54*1000/(Inputs!$B$20^2))^Inputs!$B$16*Inputs!$B$20/Inputs!$B$12))^2/(2*PI())))))</f>
        <v>4.3025820430866482</v>
      </c>
      <c r="C54" s="9">
        <f>DEGREES(ATAN((Inputs!$B$13*TANH(Inputs!$B$14*(Inputs!$B$12*A54*1000/(Inputs!$B$21^2)))*Inputs!$B$21^2/Inputs!$B$12)/((Inputs!$B$12*((Inputs!$B$15*(Inputs!$B$12*A54*1000/(Inputs!$B$21^2))^Inputs!$B$16*Inputs!$B$21/Inputs!$B$12))^2/(2*PI())))))</f>
        <v>7.3609908470706191</v>
      </c>
      <c r="D54" s="9">
        <f>DEGREES(ATAN((Inputs!$B$13*TANH(Inputs!$B$14*(Inputs!$B$12*A54*1000/(Inputs!$B$22^2)))*Inputs!$B$22^2/Inputs!$B$12)/((Inputs!$B$12*((Inputs!$B$15*(Inputs!$B$12*A54*1000/(Inputs!$B$22^2))^Inputs!$B$16*Inputs!$B$22/Inputs!$B$12))^2/(2*PI())))))</f>
        <v>10.734854491925939</v>
      </c>
      <c r="E54" s="9">
        <f>DEGREES(ATAN((Inputs!$B$13*TANH(Inputs!$B$14*(Inputs!$B$12*A54*1000/(Inputs!$B$23^2)))*Inputs!$B$23^2/Inputs!$B$12)/((Inputs!$B$12*((Inputs!$B$15*(Inputs!$B$12*A54*1000/(Inputs!$B$23^2))^Inputs!$B$16*Inputs!$B$23/Inputs!$B$12))^2/(2*PI())))))</f>
        <v>14.320419324331013</v>
      </c>
    </row>
    <row r="55" spans="1:5" x14ac:dyDescent="0.25">
      <c r="A55" s="4">
        <v>54</v>
      </c>
      <c r="B55" s="9">
        <f>DEGREES(ATAN((Inputs!$B$13*TANH(Inputs!$B$14*(Inputs!$B$12*A55*1000/(Inputs!$B$20^2)))*Inputs!$B$20^2/Inputs!$B$12)/((Inputs!$B$12*((Inputs!$B$15*(Inputs!$B$12*A55*1000/(Inputs!$B$20^2))^Inputs!$B$16*Inputs!$B$20/Inputs!$B$12))^2/(2*PI())))))</f>
        <v>4.2494948416591205</v>
      </c>
      <c r="C55" s="9">
        <f>DEGREES(ATAN((Inputs!$B$13*TANH(Inputs!$B$14*(Inputs!$B$12*A55*1000/(Inputs!$B$21^2)))*Inputs!$B$21^2/Inputs!$B$12)/((Inputs!$B$12*((Inputs!$B$15*(Inputs!$B$12*A55*1000/(Inputs!$B$21^2))^Inputs!$B$16*Inputs!$B$21/Inputs!$B$12))^2/(2*PI())))))</f>
        <v>7.270813119829028</v>
      </c>
      <c r="D55" s="9">
        <f>DEGREES(ATAN((Inputs!$B$13*TANH(Inputs!$B$14*(Inputs!$B$12*A55*1000/(Inputs!$B$22^2)))*Inputs!$B$22^2/Inputs!$B$12)/((Inputs!$B$12*((Inputs!$B$15*(Inputs!$B$12*A55*1000/(Inputs!$B$22^2))^Inputs!$B$16*Inputs!$B$22/Inputs!$B$12))^2/(2*PI())))))</f>
        <v>10.604946735185008</v>
      </c>
      <c r="E55" s="9">
        <f>DEGREES(ATAN((Inputs!$B$13*TANH(Inputs!$B$14*(Inputs!$B$12*A55*1000/(Inputs!$B$23^2)))*Inputs!$B$23^2/Inputs!$B$12)/((Inputs!$B$12*((Inputs!$B$15*(Inputs!$B$12*A55*1000/(Inputs!$B$23^2))^Inputs!$B$16*Inputs!$B$23/Inputs!$B$12))^2/(2*PI())))))</f>
        <v>14.150239436899824</v>
      </c>
    </row>
    <row r="56" spans="1:5" x14ac:dyDescent="0.25">
      <c r="A56" s="4">
        <v>55</v>
      </c>
      <c r="B56" s="9">
        <f>DEGREES(ATAN((Inputs!$B$13*TANH(Inputs!$B$14*(Inputs!$B$12*A56*1000/(Inputs!$B$20^2)))*Inputs!$B$20^2/Inputs!$B$12)/((Inputs!$B$12*((Inputs!$B$15*(Inputs!$B$12*A56*1000/(Inputs!$B$20^2))^Inputs!$B$16*Inputs!$B$20/Inputs!$B$12))^2/(2*PI())))))</f>
        <v>4.1980142917340677</v>
      </c>
      <c r="C56" s="9">
        <f>DEGREES(ATAN((Inputs!$B$13*TANH(Inputs!$B$14*(Inputs!$B$12*A56*1000/(Inputs!$B$21^2)))*Inputs!$B$21^2/Inputs!$B$12)/((Inputs!$B$12*((Inputs!$B$15*(Inputs!$B$12*A56*1000/(Inputs!$B$21^2))^Inputs!$B$16*Inputs!$B$21/Inputs!$B$12))^2/(2*PI())))))</f>
        <v>7.1833418255711718</v>
      </c>
      <c r="D56" s="9">
        <f>DEGREES(ATAN((Inputs!$B$13*TANH(Inputs!$B$14*(Inputs!$B$12*A56*1000/(Inputs!$B$22^2)))*Inputs!$B$22^2/Inputs!$B$12)/((Inputs!$B$12*((Inputs!$B$15*(Inputs!$B$12*A56*1000/(Inputs!$B$22^2))^Inputs!$B$16*Inputs!$B$22/Inputs!$B$12))^2/(2*PI())))))</f>
        <v>10.47888222147364</v>
      </c>
      <c r="E56" s="9">
        <f>DEGREES(ATAN((Inputs!$B$13*TANH(Inputs!$B$14*(Inputs!$B$12*A56*1000/(Inputs!$B$23^2)))*Inputs!$B$23^2/Inputs!$B$12)/((Inputs!$B$12*((Inputs!$B$15*(Inputs!$B$12*A56*1000/(Inputs!$B$23^2))^Inputs!$B$16*Inputs!$B$23/Inputs!$B$12))^2/(2*PI())))))</f>
        <v>13.984988555116505</v>
      </c>
    </row>
    <row r="57" spans="1:5" x14ac:dyDescent="0.25">
      <c r="A57" s="4">
        <v>56</v>
      </c>
      <c r="B57" s="9">
        <f>DEGREES(ATAN((Inputs!$B$13*TANH(Inputs!$B$14*(Inputs!$B$12*A57*1000/(Inputs!$B$20^2)))*Inputs!$B$20^2/Inputs!$B$12)/((Inputs!$B$12*((Inputs!$B$15*(Inputs!$B$12*A57*1000/(Inputs!$B$20^2))^Inputs!$B$16*Inputs!$B$20/Inputs!$B$12))^2/(2*PI())))))</f>
        <v>4.1480640207469621</v>
      </c>
      <c r="C57" s="9">
        <f>DEGREES(ATAN((Inputs!$B$13*TANH(Inputs!$B$14*(Inputs!$B$12*A57*1000/(Inputs!$B$21^2)))*Inputs!$B$21^2/Inputs!$B$12)/((Inputs!$B$12*((Inputs!$B$15*(Inputs!$B$12*A57*1000/(Inputs!$B$21^2))^Inputs!$B$16*Inputs!$B$21/Inputs!$B$12))^2/(2*PI())))))</f>
        <v>7.0984494929668154</v>
      </c>
      <c r="D57" s="9">
        <f>DEGREES(ATAN((Inputs!$B$13*TANH(Inputs!$B$14*(Inputs!$B$12*A57*1000/(Inputs!$B$22^2)))*Inputs!$B$22^2/Inputs!$B$12)/((Inputs!$B$12*((Inputs!$B$15*(Inputs!$B$12*A57*1000/(Inputs!$B$22^2))^Inputs!$B$16*Inputs!$B$22/Inputs!$B$12))^2/(2*PI())))))</f>
        <v>10.356482772466547</v>
      </c>
      <c r="E57" s="9">
        <f>DEGREES(ATAN((Inputs!$B$13*TANH(Inputs!$B$14*(Inputs!$B$12*A57*1000/(Inputs!$B$23^2)))*Inputs!$B$23^2/Inputs!$B$12)/((Inputs!$B$12*((Inputs!$B$15*(Inputs!$B$12*A57*1000/(Inputs!$B$23^2))^Inputs!$B$16*Inputs!$B$23/Inputs!$B$12))^2/(2*PI())))))</f>
        <v>13.824443426441418</v>
      </c>
    </row>
    <row r="58" spans="1:5" x14ac:dyDescent="0.25">
      <c r="A58" s="4">
        <v>57</v>
      </c>
      <c r="B58" s="9">
        <f>DEGREES(ATAN((Inputs!$B$13*TANH(Inputs!$B$14*(Inputs!$B$12*A58*1000/(Inputs!$B$20^2)))*Inputs!$B$20^2/Inputs!$B$12)/((Inputs!$B$12*((Inputs!$B$15*(Inputs!$B$12*A58*1000/(Inputs!$B$20^2))^Inputs!$B$16*Inputs!$B$20/Inputs!$B$12))^2/(2*PI())))))</f>
        <v>4.0995725585203893</v>
      </c>
      <c r="C58" s="9">
        <f>DEGREES(ATAN((Inputs!$B$13*TANH(Inputs!$B$14*(Inputs!$B$12*A58*1000/(Inputs!$B$21^2)))*Inputs!$B$21^2/Inputs!$B$12)/((Inputs!$B$12*((Inputs!$B$15*(Inputs!$B$12*A58*1000/(Inputs!$B$21^2))^Inputs!$B$16*Inputs!$B$21/Inputs!$B$12))^2/(2*PI())))))</f>
        <v>7.0160167529996098</v>
      </c>
      <c r="D58" s="9">
        <f>DEGREES(ATAN((Inputs!$B$13*TANH(Inputs!$B$14*(Inputs!$B$12*A58*1000/(Inputs!$B$22^2)))*Inputs!$B$22^2/Inputs!$B$12)/((Inputs!$B$12*((Inputs!$B$15*(Inputs!$B$12*A58*1000/(Inputs!$B$22^2))^Inputs!$B$16*Inputs!$B$22/Inputs!$B$12))^2/(2*PI())))))</f>
        <v>10.237581345805168</v>
      </c>
      <c r="E58" s="9">
        <f>DEGREES(ATAN((Inputs!$B$13*TANH(Inputs!$B$14*(Inputs!$B$12*A58*1000/(Inputs!$B$23^2)))*Inputs!$B$23^2/Inputs!$B$12)/((Inputs!$B$12*((Inputs!$B$15*(Inputs!$B$12*A58*1000/(Inputs!$B$23^2))^Inputs!$B$16*Inputs!$B$23/Inputs!$B$12))^2/(2*PI())))))</f>
        <v>13.66839440828744</v>
      </c>
    </row>
    <row r="59" spans="1:5" x14ac:dyDescent="0.25">
      <c r="A59" s="4">
        <v>58</v>
      </c>
      <c r="B59" s="9">
        <f>DEGREES(ATAN((Inputs!$B$13*TANH(Inputs!$B$14*(Inputs!$B$12*A59*1000/(Inputs!$B$20^2)))*Inputs!$B$20^2/Inputs!$B$12)/((Inputs!$B$12*((Inputs!$B$15*(Inputs!$B$12*A59*1000/(Inputs!$B$20^2))^Inputs!$B$16*Inputs!$B$20/Inputs!$B$12))^2/(2*PI())))))</f>
        <v>4.0524729437766336</v>
      </c>
      <c r="C59" s="9">
        <f>DEGREES(ATAN((Inputs!$B$13*TANH(Inputs!$B$14*(Inputs!$B$12*A59*1000/(Inputs!$B$21^2)))*Inputs!$B$21^2/Inputs!$B$12)/((Inputs!$B$12*((Inputs!$B$15*(Inputs!$B$12*A59*1000/(Inputs!$B$21^2))^Inputs!$B$16*Inputs!$B$21/Inputs!$B$12))^2/(2*PI())))))</f>
        <v>6.9359316953232382</v>
      </c>
      <c r="D59" s="9">
        <f>DEGREES(ATAN((Inputs!$B$13*TANH(Inputs!$B$14*(Inputs!$B$12*A59*1000/(Inputs!$B$22^2)))*Inputs!$B$22^2/Inputs!$B$12)/((Inputs!$B$12*((Inputs!$B$15*(Inputs!$B$12*A59*1000/(Inputs!$B$22^2))^Inputs!$B$16*Inputs!$B$22/Inputs!$B$12))^2/(2*PI())))))</f>
        <v>10.122021165983098</v>
      </c>
      <c r="E59" s="9">
        <f>DEGREES(ATAN((Inputs!$B$13*TANH(Inputs!$B$14*(Inputs!$B$12*A59*1000/(Inputs!$B$23^2)))*Inputs!$B$23^2/Inputs!$B$12)/((Inputs!$B$12*((Inputs!$B$15*(Inputs!$B$12*A59*1000/(Inputs!$B$23^2))^Inputs!$B$16*Inputs!$B$23/Inputs!$B$12))^2/(2*PI())))))</f>
        <v>13.51664443335182</v>
      </c>
    </row>
    <row r="60" spans="1:5" x14ac:dyDescent="0.25">
      <c r="A60" s="4">
        <v>59</v>
      </c>
      <c r="B60" s="9">
        <f>DEGREES(ATAN((Inputs!$B$13*TANH(Inputs!$B$14*(Inputs!$B$12*A60*1000/(Inputs!$B$20^2)))*Inputs!$B$20^2/Inputs!$B$12)/((Inputs!$B$12*((Inputs!$B$15*(Inputs!$B$12*A60*1000/(Inputs!$B$20^2))^Inputs!$B$16*Inputs!$B$20/Inputs!$B$12))^2/(2*PI())))))</f>
        <v>4.0067023683417844</v>
      </c>
      <c r="C60" s="9">
        <f>DEGREES(ATAN((Inputs!$B$13*TANH(Inputs!$B$14*(Inputs!$B$12*A60*1000/(Inputs!$B$21^2)))*Inputs!$B$21^2/Inputs!$B$12)/((Inputs!$B$12*((Inputs!$B$15*(Inputs!$B$12*A60*1000/(Inputs!$B$21^2))^Inputs!$B$16*Inputs!$B$21/Inputs!$B$12))^2/(2*PI())))))</f>
        <v>6.8580892856136586</v>
      </c>
      <c r="D60" s="9">
        <f>DEGREES(ATAN((Inputs!$B$13*TANH(Inputs!$B$14*(Inputs!$B$12*A60*1000/(Inputs!$B$22^2)))*Inputs!$B$22^2/Inputs!$B$12)/((Inputs!$B$12*((Inputs!$B$15*(Inputs!$B$12*A60*1000/(Inputs!$B$22^2))^Inputs!$B$16*Inputs!$B$22/Inputs!$B$12))^2/(2*PI())))))</f>
        <v>10.009654936095206</v>
      </c>
      <c r="E60" s="9">
        <f>DEGREES(ATAN((Inputs!$B$13*TANH(Inputs!$B$14*(Inputs!$B$12*A60*1000/(Inputs!$B$23^2)))*Inputs!$B$23^2/Inputs!$B$12)/((Inputs!$B$12*((Inputs!$B$15*(Inputs!$B$12*A60*1000/(Inputs!$B$23^2))^Inputs!$B$16*Inputs!$B$23/Inputs!$B$12))^2/(2*PI())))))</f>
        <v>13.369008068586435</v>
      </c>
    </row>
    <row r="61" spans="1:5" x14ac:dyDescent="0.25">
      <c r="A61" s="4">
        <v>60</v>
      </c>
      <c r="B61" s="9">
        <f>DEGREES(ATAN((Inputs!$B$13*TANH(Inputs!$B$14*(Inputs!$B$12*A61*1000/(Inputs!$B$20^2)))*Inputs!$B$20^2/Inputs!$B$12)/((Inputs!$B$12*((Inputs!$B$15*(Inputs!$B$12*A61*1000/(Inputs!$B$20^2))^Inputs!$B$16*Inputs!$B$20/Inputs!$B$12))^2/(2*PI())))))</f>
        <v>3.9622018548656328</v>
      </c>
      <c r="C61" s="9">
        <f>DEGREES(ATAN((Inputs!$B$13*TANH(Inputs!$B$14*(Inputs!$B$12*A61*1000/(Inputs!$B$21^2)))*Inputs!$B$21^2/Inputs!$B$12)/((Inputs!$B$12*((Inputs!$B$15*(Inputs!$B$12*A61*1000/(Inputs!$B$21^2))^Inputs!$B$16*Inputs!$B$21/Inputs!$B$12))^2/(2*PI())))))</f>
        <v>6.7823908372338169</v>
      </c>
      <c r="D61" s="9">
        <f>DEGREES(ATAN((Inputs!$B$13*TANH(Inputs!$B$14*(Inputs!$B$12*A61*1000/(Inputs!$B$22^2)))*Inputs!$B$22^2/Inputs!$B$12)/((Inputs!$B$12*((Inputs!$B$15*(Inputs!$B$12*A61*1000/(Inputs!$B$22^2))^Inputs!$B$16*Inputs!$B$22/Inputs!$B$12))^2/(2*PI())))))</f>
        <v>9.9003441217558574</v>
      </c>
      <c r="E61" s="9">
        <f>DEGREES(ATAN((Inputs!$B$13*TANH(Inputs!$B$14*(Inputs!$B$12*A61*1000/(Inputs!$B$23^2)))*Inputs!$B$23^2/Inputs!$B$12)/((Inputs!$B$12*((Inputs!$B$15*(Inputs!$B$12*A61*1000/(Inputs!$B$23^2))^Inputs!$B$16*Inputs!$B$23/Inputs!$B$12))^2/(2*PI())))))</f>
        <v>13.225310658032686</v>
      </c>
    </row>
    <row r="62" spans="1:5" x14ac:dyDescent="0.25">
      <c r="A62" s="4">
        <v>61</v>
      </c>
      <c r="B62" s="9">
        <f>DEGREES(ATAN((Inputs!$B$13*TANH(Inputs!$B$14*(Inputs!$B$12*A62*1000/(Inputs!$B$20^2)))*Inputs!$B$20^2/Inputs!$B$12)/((Inputs!$B$12*((Inputs!$B$15*(Inputs!$B$12*A62*1000/(Inputs!$B$20^2))^Inputs!$B$16*Inputs!$B$20/Inputs!$B$12))^2/(2*PI())))))</f>
        <v>3.9189159644045288</v>
      </c>
      <c r="C62" s="9">
        <f>DEGREES(ATAN((Inputs!$B$13*TANH(Inputs!$B$14*(Inputs!$B$12*A62*1000/(Inputs!$B$21^2)))*Inputs!$B$21^2/Inputs!$B$12)/((Inputs!$B$12*((Inputs!$B$15*(Inputs!$B$12*A62*1000/(Inputs!$B$21^2))^Inputs!$B$16*Inputs!$B$21/Inputs!$B$12))^2/(2*PI())))))</f>
        <v>6.7087435313552799</v>
      </c>
      <c r="D62" s="9">
        <f>DEGREES(ATAN((Inputs!$B$13*TANH(Inputs!$B$14*(Inputs!$B$12*A62*1000/(Inputs!$B$22^2)))*Inputs!$B$22^2/Inputs!$B$12)/((Inputs!$B$12*((Inputs!$B$15*(Inputs!$B$12*A62*1000/(Inputs!$B$22^2))^Inputs!$B$16*Inputs!$B$22/Inputs!$B$12))^2/(2*PI())))))</f>
        <v>9.7939582995483274</v>
      </c>
      <c r="E62" s="9">
        <f>DEGREES(ATAN((Inputs!$B$13*TANH(Inputs!$B$14*(Inputs!$B$12*A62*1000/(Inputs!$B$23^2)))*Inputs!$B$23^2/Inputs!$B$12)/((Inputs!$B$12*((Inputs!$B$15*(Inputs!$B$12*A62*1000/(Inputs!$B$23^2))^Inputs!$B$16*Inputs!$B$23/Inputs!$B$12))^2/(2*PI())))))</f>
        <v>13.085387540896393</v>
      </c>
    </row>
    <row r="63" spans="1:5" x14ac:dyDescent="0.25">
      <c r="A63" s="4">
        <v>62</v>
      </c>
      <c r="B63" s="9">
        <f>DEGREES(ATAN((Inputs!$B$13*TANH(Inputs!$B$14*(Inputs!$B$12*A63*1000/(Inputs!$B$20^2)))*Inputs!$B$20^2/Inputs!$B$12)/((Inputs!$B$12*((Inputs!$B$15*(Inputs!$B$12*A63*1000/(Inputs!$B$20^2))^Inputs!$B$16*Inputs!$B$20/Inputs!$B$12))^2/(2*PI())))))</f>
        <v>3.8767925306649995</v>
      </c>
      <c r="C63" s="9">
        <f>DEGREES(ATAN((Inputs!$B$13*TANH(Inputs!$B$14*(Inputs!$B$12*A63*1000/(Inputs!$B$21^2)))*Inputs!$B$21^2/Inputs!$B$12)/((Inputs!$B$12*((Inputs!$B$15*(Inputs!$B$12*A63*1000/(Inputs!$B$21^2))^Inputs!$B$16*Inputs!$B$21/Inputs!$B$12))^2/(2*PI())))))</f>
        <v>6.6370599803951311</v>
      </c>
      <c r="D63" s="9">
        <f>DEGREES(ATAN((Inputs!$B$13*TANH(Inputs!$B$14*(Inputs!$B$12*A63*1000/(Inputs!$B$22^2)))*Inputs!$B$22^2/Inputs!$B$12)/((Inputs!$B$12*((Inputs!$B$15*(Inputs!$B$12*A63*1000/(Inputs!$B$22^2))^Inputs!$B$16*Inputs!$B$22/Inputs!$B$12))^2/(2*PI())))))</f>
        <v>9.6903745632812495</v>
      </c>
      <c r="E63" s="9">
        <f>DEGREES(ATAN((Inputs!$B$13*TANH(Inputs!$B$14*(Inputs!$B$12*A63*1000/(Inputs!$B$23^2)))*Inputs!$B$23^2/Inputs!$B$12)/((Inputs!$B$12*((Inputs!$B$15*(Inputs!$B$12*A63*1000/(Inputs!$B$23^2))^Inputs!$B$16*Inputs!$B$23/Inputs!$B$12))^2/(2*PI())))))</f>
        <v>12.949083337237754</v>
      </c>
    </row>
    <row r="64" spans="1:5" x14ac:dyDescent="0.25">
      <c r="A64" s="4">
        <v>63</v>
      </c>
      <c r="B64" s="9">
        <f>DEGREES(ATAN((Inputs!$B$13*TANH(Inputs!$B$14*(Inputs!$B$12*A64*1000/(Inputs!$B$20^2)))*Inputs!$B$20^2/Inputs!$B$12)/((Inputs!$B$12*((Inputs!$B$15*(Inputs!$B$12*A64*1000/(Inputs!$B$20^2))^Inputs!$B$16*Inputs!$B$20/Inputs!$B$12))^2/(2*PI())))))</f>
        <v>3.8357824180942597</v>
      </c>
      <c r="C64" s="9">
        <f>DEGREES(ATAN((Inputs!$B$13*TANH(Inputs!$B$14*(Inputs!$B$12*A64*1000/(Inputs!$B$21^2)))*Inputs!$B$21^2/Inputs!$B$12)/((Inputs!$B$12*((Inputs!$B$15*(Inputs!$B$12*A64*1000/(Inputs!$B$21^2))^Inputs!$B$16*Inputs!$B$21/Inputs!$B$12))^2/(2*PI())))))</f>
        <v>6.5672578302437508</v>
      </c>
      <c r="D64" s="9">
        <f>DEGREES(ATAN((Inputs!$B$13*TANH(Inputs!$B$14*(Inputs!$B$12*A64*1000/(Inputs!$B$22^2)))*Inputs!$B$22^2/Inputs!$B$12)/((Inputs!$B$12*((Inputs!$B$15*(Inputs!$B$12*A64*1000/(Inputs!$B$22^2))^Inputs!$B$16*Inputs!$B$22/Inputs!$B$12))^2/(2*PI())))))</f>
        <v>9.5894769821200381</v>
      </c>
      <c r="E64" s="9">
        <f>DEGREES(ATAN((Inputs!$B$13*TANH(Inputs!$B$14*(Inputs!$B$12*A64*1000/(Inputs!$B$23^2)))*Inputs!$B$23^2/Inputs!$B$12)/((Inputs!$B$12*((Inputs!$B$15*(Inputs!$B$12*A64*1000/(Inputs!$B$23^2))^Inputs!$B$16*Inputs!$B$23/Inputs!$B$12))^2/(2*PI())))))</f>
        <v>12.8162512945229</v>
      </c>
    </row>
    <row r="65" spans="1:5" x14ac:dyDescent="0.25">
      <c r="A65" s="4">
        <v>64</v>
      </c>
      <c r="B65" s="9">
        <f>DEGREES(ATAN((Inputs!$B$13*TANH(Inputs!$B$14*(Inputs!$B$12*A65*1000/(Inputs!$B$20^2)))*Inputs!$B$20^2/Inputs!$B$12)/((Inputs!$B$12*((Inputs!$B$15*(Inputs!$B$12*A65*1000/(Inputs!$B$20^2))^Inputs!$B$16*Inputs!$B$20/Inputs!$B$12))^2/(2*PI())))))</f>
        <v>3.7958393013400267</v>
      </c>
      <c r="C65" s="9">
        <f>DEGREES(ATAN((Inputs!$B$13*TANH(Inputs!$B$14*(Inputs!$B$12*A65*1000/(Inputs!$B$21^2)))*Inputs!$B$21^2/Inputs!$B$12)/((Inputs!$B$12*((Inputs!$B$15*(Inputs!$B$12*A65*1000/(Inputs!$B$21^2))^Inputs!$B$16*Inputs!$B$21/Inputs!$B$12))^2/(2*PI())))))</f>
        <v>6.4992593972937582</v>
      </c>
      <c r="D65" s="9">
        <f>DEGREES(ATAN((Inputs!$B$13*TANH(Inputs!$B$14*(Inputs!$B$12*A65*1000/(Inputs!$B$22^2)))*Inputs!$B$22^2/Inputs!$B$12)/((Inputs!$B$12*((Inputs!$B$15*(Inputs!$B$12*A65*1000/(Inputs!$B$22^2))^Inputs!$B$16*Inputs!$B$22/Inputs!$B$12))^2/(2*PI())))))</f>
        <v>9.4911561053501927</v>
      </c>
      <c r="E65" s="9">
        <f>DEGREES(ATAN((Inputs!$B$13*TANH(Inputs!$B$14*(Inputs!$B$12*A65*1000/(Inputs!$B$23^2)))*Inputs!$B$23^2/Inputs!$B$12)/((Inputs!$B$12*((Inputs!$B$15*(Inputs!$B$12*A65*1000/(Inputs!$B$23^2))^Inputs!$B$16*Inputs!$B$23/Inputs!$B$12))^2/(2*PI())))))</f>
        <v>12.686752689045324</v>
      </c>
    </row>
    <row r="66" spans="1:5" x14ac:dyDescent="0.25">
      <c r="A66" s="4">
        <v>65</v>
      </c>
      <c r="B66" s="9">
        <f>DEGREES(ATAN((Inputs!$B$13*TANH(Inputs!$B$14*(Inputs!$B$12*A66*1000/(Inputs!$B$20^2)))*Inputs!$B$20^2/Inputs!$B$12)/((Inputs!$B$12*((Inputs!$B$15*(Inputs!$B$12*A66*1000/(Inputs!$B$20^2))^Inputs!$B$16*Inputs!$B$20/Inputs!$B$12))^2/(2*PI())))))</f>
        <v>3.756919463893384</v>
      </c>
      <c r="C66" s="9">
        <f>DEGREES(ATAN((Inputs!$B$13*TANH(Inputs!$B$14*(Inputs!$B$12*A66*1000/(Inputs!$B$21^2)))*Inputs!$B$21^2/Inputs!$B$12)/((Inputs!$B$12*((Inputs!$B$15*(Inputs!$B$12*A66*1000/(Inputs!$B$21^2))^Inputs!$B$16*Inputs!$B$21/Inputs!$B$12))^2/(2*PI())))))</f>
        <v>6.4329913367449043</v>
      </c>
      <c r="D66" s="9">
        <f>DEGREES(ATAN((Inputs!$B$13*TANH(Inputs!$B$14*(Inputs!$B$12*A66*1000/(Inputs!$B$22^2)))*Inputs!$B$22^2/Inputs!$B$12)/((Inputs!$B$12*((Inputs!$B$15*(Inputs!$B$12*A66*1000/(Inputs!$B$22^2))^Inputs!$B$16*Inputs!$B$22/Inputs!$B$12))^2/(2*PI())))))</f>
        <v>9.3953085091281654</v>
      </c>
      <c r="E66" s="9">
        <f>DEGREES(ATAN((Inputs!$B$13*TANH(Inputs!$B$14*(Inputs!$B$12*A66*1000/(Inputs!$B$23^2)))*Inputs!$B$23^2/Inputs!$B$12)/((Inputs!$B$12*((Inputs!$B$15*(Inputs!$B$12*A66*1000/(Inputs!$B$23^2))^Inputs!$B$16*Inputs!$B$23/Inputs!$B$12))^2/(2*PI())))))</f>
        <v>12.560456276891152</v>
      </c>
    </row>
    <row r="67" spans="1:5" x14ac:dyDescent="0.25">
      <c r="A67" s="4">
        <v>66</v>
      </c>
      <c r="B67" s="9">
        <f>DEGREES(ATAN((Inputs!$B$13*TANH(Inputs!$B$14*(Inputs!$B$12*A67*1000/(Inputs!$B$20^2)))*Inputs!$B$20^2/Inputs!$B$12)/((Inputs!$B$12*((Inputs!$B$15*(Inputs!$B$12*A67*1000/(Inputs!$B$20^2))^Inputs!$B$16*Inputs!$B$20/Inputs!$B$12))^2/(2*PI())))))</f>
        <v>3.7189816139818399</v>
      </c>
      <c r="C67" s="9">
        <f>DEGREES(ATAN((Inputs!$B$13*TANH(Inputs!$B$14*(Inputs!$B$12*A67*1000/(Inputs!$B$21^2)))*Inputs!$B$21^2/Inputs!$B$12)/((Inputs!$B$12*((Inputs!$B$15*(Inputs!$B$12*A67*1000/(Inputs!$B$21^2))^Inputs!$B$16*Inputs!$B$21/Inputs!$B$12))^2/(2*PI())))))</f>
        <v>6.3683843390640176</v>
      </c>
      <c r="D67" s="9">
        <f>DEGREES(ATAN((Inputs!$B$13*TANH(Inputs!$B$14*(Inputs!$B$12*A67*1000/(Inputs!$B$22^2)))*Inputs!$B$22^2/Inputs!$B$12)/((Inputs!$B$12*((Inputs!$B$15*(Inputs!$B$12*A67*1000/(Inputs!$B$22^2))^Inputs!$B$16*Inputs!$B$22/Inputs!$B$12))^2/(2*PI())))))</f>
        <v>9.3018363810998643</v>
      </c>
      <c r="E67" s="9">
        <f>DEGREES(ATAN((Inputs!$B$13*TANH(Inputs!$B$14*(Inputs!$B$12*A67*1000/(Inputs!$B$23^2)))*Inputs!$B$23^2/Inputs!$B$12)/((Inputs!$B$12*((Inputs!$B$15*(Inputs!$B$12*A67*1000/(Inputs!$B$23^2))^Inputs!$B$16*Inputs!$B$23/Inputs!$B$12))^2/(2*PI())))))</f>
        <v>12.437237789706789</v>
      </c>
    </row>
    <row r="68" spans="1:5" x14ac:dyDescent="0.25">
      <c r="A68" s="4">
        <v>67</v>
      </c>
      <c r="B68" s="9">
        <f>DEGREES(ATAN((Inputs!$B$13*TANH(Inputs!$B$14*(Inputs!$B$12*A68*1000/(Inputs!$B$20^2)))*Inputs!$B$20^2/Inputs!$B$12)/((Inputs!$B$12*((Inputs!$B$15*(Inputs!$B$12*A68*1000/(Inputs!$B$20^2))^Inputs!$B$16*Inputs!$B$20/Inputs!$B$12))^2/(2*PI())))))</f>
        <v>3.6819867160001065</v>
      </c>
      <c r="C68" s="9">
        <f>DEGREES(ATAN((Inputs!$B$13*TANH(Inputs!$B$14*(Inputs!$B$12*A68*1000/(Inputs!$B$21^2)))*Inputs!$B$21^2/Inputs!$B$12)/((Inputs!$B$12*((Inputs!$B$15*(Inputs!$B$12*A68*1000/(Inputs!$B$21^2))^Inputs!$B$16*Inputs!$B$21/Inputs!$B$12))^2/(2*PI())))))</f>
        <v>6.3053728518315069</v>
      </c>
      <c r="D68" s="9">
        <f>DEGREES(ATAN((Inputs!$B$13*TANH(Inputs!$B$14*(Inputs!$B$12*A68*1000/(Inputs!$B$22^2)))*Inputs!$B$22^2/Inputs!$B$12)/((Inputs!$B$12*((Inputs!$B$15*(Inputs!$B$12*A68*1000/(Inputs!$B$22^2))^Inputs!$B$16*Inputs!$B$22/Inputs!$B$12))^2/(2*PI())))))</f>
        <v>9.2106471392234361</v>
      </c>
      <c r="E68" s="9">
        <f>DEGREES(ATAN((Inputs!$B$13*TANH(Inputs!$B$14*(Inputs!$B$12*A68*1000/(Inputs!$B$23^2)))*Inputs!$B$23^2/Inputs!$B$12)/((Inputs!$B$12*((Inputs!$B$15*(Inputs!$B$12*A68*1000/(Inputs!$B$23^2))^Inputs!$B$16*Inputs!$B$23/Inputs!$B$12))^2/(2*PI())))))</f>
        <v>12.316979471040133</v>
      </c>
    </row>
    <row r="69" spans="1:5" x14ac:dyDescent="0.25">
      <c r="A69" s="4">
        <v>68</v>
      </c>
      <c r="B69" s="9">
        <f>DEGREES(ATAN((Inputs!$B$13*TANH(Inputs!$B$14*(Inputs!$B$12*A69*1000/(Inputs!$B$20^2)))*Inputs!$B$20^2/Inputs!$B$12)/((Inputs!$B$12*((Inputs!$B$15*(Inputs!$B$12*A69*1000/(Inputs!$B$20^2))^Inputs!$B$16*Inputs!$B$20/Inputs!$B$12))^2/(2*PI())))))</f>
        <v>3.6458978359589831</v>
      </c>
      <c r="C69" s="9">
        <f>DEGREES(ATAN((Inputs!$B$13*TANH(Inputs!$B$14*(Inputs!$B$12*A69*1000/(Inputs!$B$21^2)))*Inputs!$B$21^2/Inputs!$B$12)/((Inputs!$B$12*((Inputs!$B$15*(Inputs!$B$12*A69*1000/(Inputs!$B$21^2))^Inputs!$B$16*Inputs!$B$21/Inputs!$B$12))^2/(2*PI())))))</f>
        <v>6.2438948245146726</v>
      </c>
      <c r="D69" s="9">
        <f>DEGREES(ATAN((Inputs!$B$13*TANH(Inputs!$B$14*(Inputs!$B$12*A69*1000/(Inputs!$B$22^2)))*Inputs!$B$22^2/Inputs!$B$12)/((Inputs!$B$12*((Inputs!$B$15*(Inputs!$B$12*A69*1000/(Inputs!$B$22^2))^Inputs!$B$16*Inputs!$B$22/Inputs!$B$12))^2/(2*PI())))))</f>
        <v>9.1216530815350865</v>
      </c>
      <c r="E69" s="9">
        <f>DEGREES(ATAN((Inputs!$B$13*TANH(Inputs!$B$14*(Inputs!$B$12*A69*1000/(Inputs!$B$23^2)))*Inputs!$B$23^2/Inputs!$B$12)/((Inputs!$B$12*((Inputs!$B$15*(Inputs!$B$12*A69*1000/(Inputs!$B$23^2))^Inputs!$B$16*Inputs!$B$23/Inputs!$B$12))^2/(2*PI())))))</f>
        <v>12.199569649478049</v>
      </c>
    </row>
    <row r="70" spans="1:5" x14ac:dyDescent="0.25">
      <c r="A70" s="4">
        <v>69</v>
      </c>
      <c r="B70" s="9">
        <f>DEGREES(ATAN((Inputs!$B$13*TANH(Inputs!$B$14*(Inputs!$B$12*A70*1000/(Inputs!$B$20^2)))*Inputs!$B$20^2/Inputs!$B$12)/((Inputs!$B$12*((Inputs!$B$15*(Inputs!$B$12*A70*1000/(Inputs!$B$20^2))^Inputs!$B$16*Inputs!$B$20/Inputs!$B$12))^2/(2*PI())))))</f>
        <v>3.6106799996009209</v>
      </c>
      <c r="C70" s="9">
        <f>DEGREES(ATAN((Inputs!$B$13*TANH(Inputs!$B$14*(Inputs!$B$12*A70*1000/(Inputs!$B$21^2)))*Inputs!$B$21^2/Inputs!$B$12)/((Inputs!$B$12*((Inputs!$B$15*(Inputs!$B$12*A70*1000/(Inputs!$B$21^2))^Inputs!$B$16*Inputs!$B$21/Inputs!$B$12))^2/(2*PI())))))</f>
        <v>6.1838914739776465</v>
      </c>
      <c r="D70" s="9">
        <f>DEGREES(ATAN((Inputs!$B$13*TANH(Inputs!$B$14*(Inputs!$B$12*A70*1000/(Inputs!$B$22^2)))*Inputs!$B$22^2/Inputs!$B$12)/((Inputs!$B$12*((Inputs!$B$15*(Inputs!$B$12*A70*1000/(Inputs!$B$22^2))^Inputs!$B$16*Inputs!$B$22/Inputs!$B$12))^2/(2*PI())))))</f>
        <v>9.0347710639481562</v>
      </c>
      <c r="E70" s="9">
        <f>DEGREES(ATAN((Inputs!$B$13*TANH(Inputs!$B$14*(Inputs!$B$12*A70*1000/(Inputs!$B$23^2)))*Inputs!$B$23^2/Inputs!$B$12)/((Inputs!$B$12*((Inputs!$B$15*(Inputs!$B$12*A70*1000/(Inputs!$B$23^2))^Inputs!$B$16*Inputs!$B$23/Inputs!$B$12))^2/(2*PI())))))</f>
        <v>12.084902345200453</v>
      </c>
    </row>
    <row r="71" spans="1:5" x14ac:dyDescent="0.25">
      <c r="A71" s="4">
        <v>70</v>
      </c>
      <c r="B71" s="9">
        <f>DEGREES(ATAN((Inputs!$B$13*TANH(Inputs!$B$14*(Inputs!$B$12*A71*1000/(Inputs!$B$20^2)))*Inputs!$B$20^2/Inputs!$B$12)/((Inputs!$B$12*((Inputs!$B$15*(Inputs!$B$12*A71*1000/(Inputs!$B$20^2))^Inputs!$B$16*Inputs!$B$20/Inputs!$B$12))^2/(2*PI())))))</f>
        <v>3.5763000619786158</v>
      </c>
      <c r="C71" s="9">
        <f>DEGREES(ATAN((Inputs!$B$13*TANH(Inputs!$B$14*(Inputs!$B$12*A71*1000/(Inputs!$B$21^2)))*Inputs!$B$21^2/Inputs!$B$12)/((Inputs!$B$12*((Inputs!$B$15*(Inputs!$B$12*A71*1000/(Inputs!$B$21^2))^Inputs!$B$16*Inputs!$B$21/Inputs!$B$12))^2/(2*PI())))))</f>
        <v>6.1253070687751299</v>
      </c>
      <c r="D71" s="9">
        <f>DEGREES(ATAN((Inputs!$B$13*TANH(Inputs!$B$14*(Inputs!$B$12*A71*1000/(Inputs!$B$22^2)))*Inputs!$B$22^2/Inputs!$B$12)/((Inputs!$B$12*((Inputs!$B$15*(Inputs!$B$12*A71*1000/(Inputs!$B$22^2))^Inputs!$B$16*Inputs!$B$22/Inputs!$B$12))^2/(2*PI())))))</f>
        <v>8.9499222034859542</v>
      </c>
      <c r="E71" s="9">
        <f>DEGREES(ATAN((Inputs!$B$13*TANH(Inputs!$B$14*(Inputs!$B$12*A71*1000/(Inputs!$B$23^2)))*Inputs!$B$23^2/Inputs!$B$12)/((Inputs!$B$12*((Inputs!$B$15*(Inputs!$B$12*A71*1000/(Inputs!$B$23^2))^Inputs!$B$16*Inputs!$B$23/Inputs!$B$12))^2/(2*PI())))))</f>
        <v>11.972876906922881</v>
      </c>
    </row>
    <row r="72" spans="1:5" x14ac:dyDescent="0.25">
      <c r="A72" s="4">
        <v>71</v>
      </c>
      <c r="B72" s="9">
        <f>DEGREES(ATAN((Inputs!$B$13*TANH(Inputs!$B$14*(Inputs!$B$12*A72*1000/(Inputs!$B$20^2)))*Inputs!$B$20^2/Inputs!$B$12)/((Inputs!$B$12*((Inputs!$B$15*(Inputs!$B$12*A72*1000/(Inputs!$B$20^2))^Inputs!$B$16*Inputs!$B$20/Inputs!$B$12))^2/(2*PI())))))</f>
        <v>3.5427265874226039</v>
      </c>
      <c r="C72" s="9">
        <f>DEGREES(ATAN((Inputs!$B$13*TANH(Inputs!$B$14*(Inputs!$B$12*A72*1000/(Inputs!$B$21^2)))*Inputs!$B$21^2/Inputs!$B$12)/((Inputs!$B$12*((Inputs!$B$15*(Inputs!$B$12*A72*1000/(Inputs!$B$21^2))^Inputs!$B$16*Inputs!$B$21/Inputs!$B$12))^2/(2*PI())))))</f>
        <v>6.0680887304854405</v>
      </c>
      <c r="D72" s="9">
        <f>DEGREES(ATAN((Inputs!$B$13*TANH(Inputs!$B$14*(Inputs!$B$12*A72*1000/(Inputs!$B$22^2)))*Inputs!$B$22^2/Inputs!$B$12)/((Inputs!$B$12*((Inputs!$B$15*(Inputs!$B$12*A72*1000/(Inputs!$B$22^2))^Inputs!$B$16*Inputs!$B$22/Inputs!$B$12))^2/(2*PI())))))</f>
        <v>8.8670316046218218</v>
      </c>
      <c r="E72" s="9">
        <f>DEGREES(ATAN((Inputs!$B$13*TANH(Inputs!$B$14*(Inputs!$B$12*A72*1000/(Inputs!$B$23^2)))*Inputs!$B$23^2/Inputs!$B$12)/((Inputs!$B$12*((Inputs!$B$15*(Inputs!$B$12*A72*1000/(Inputs!$B$23^2))^Inputs!$B$16*Inputs!$B$23/Inputs!$B$12))^2/(2*PI())))))</f>
        <v>11.863397676509685</v>
      </c>
    </row>
    <row r="73" spans="1:5" x14ac:dyDescent="0.25">
      <c r="A73" s="4">
        <v>72</v>
      </c>
      <c r="B73" s="9">
        <f>DEGREES(ATAN((Inputs!$B$13*TANH(Inputs!$B$14*(Inputs!$B$12*A73*1000/(Inputs!$B$20^2)))*Inputs!$B$20^2/Inputs!$B$12)/((Inputs!$B$12*((Inputs!$B$15*(Inputs!$B$12*A73*1000/(Inputs!$B$20^2))^Inputs!$B$16*Inputs!$B$20/Inputs!$B$12))^2/(2*PI())))))</f>
        <v>3.5099297389380175</v>
      </c>
      <c r="C73" s="9">
        <f>DEGREES(ATAN((Inputs!$B$13*TANH(Inputs!$B$14*(Inputs!$B$12*A73*1000/(Inputs!$B$21^2)))*Inputs!$B$21^2/Inputs!$B$12)/((Inputs!$B$12*((Inputs!$B$15*(Inputs!$B$12*A73*1000/(Inputs!$B$21^2))^Inputs!$B$16*Inputs!$B$21/Inputs!$B$12))^2/(2*PI())))))</f>
        <v>6.0121862505220758</v>
      </c>
      <c r="D73" s="9">
        <f>DEGREES(ATAN((Inputs!$B$13*TANH(Inputs!$B$14*(Inputs!$B$12*A73*1000/(Inputs!$B$22^2)))*Inputs!$B$22^2/Inputs!$B$12)/((Inputs!$B$12*((Inputs!$B$15*(Inputs!$B$12*A73*1000/(Inputs!$B$22^2))^Inputs!$B$16*Inputs!$B$22/Inputs!$B$12))^2/(2*PI())))))</f>
        <v>8.7860281066410764</v>
      </c>
      <c r="E73" s="9">
        <f>DEGREES(ATAN((Inputs!$B$13*TANH(Inputs!$B$14*(Inputs!$B$12*A73*1000/(Inputs!$B$23^2)))*Inputs!$B$23^2/Inputs!$B$12)/((Inputs!$B$12*((Inputs!$B$15*(Inputs!$B$12*A73*1000/(Inputs!$B$23^2))^Inputs!$B$16*Inputs!$B$23/Inputs!$B$12))^2/(2*PI())))))</f>
        <v>11.756373678815294</v>
      </c>
    </row>
    <row r="74" spans="1:5" x14ac:dyDescent="0.25">
      <c r="A74" s="4">
        <v>73</v>
      </c>
      <c r="B74" s="9">
        <f>DEGREES(ATAN((Inputs!$B$13*TANH(Inputs!$B$14*(Inputs!$B$12*A74*1000/(Inputs!$B$20^2)))*Inputs!$B$20^2/Inputs!$B$12)/((Inputs!$B$12*((Inputs!$B$15*(Inputs!$B$12*A74*1000/(Inputs!$B$20^2))^Inputs!$B$16*Inputs!$B$20/Inputs!$B$12))^2/(2*PI())))))</f>
        <v>3.4778811761710493</v>
      </c>
      <c r="C74" s="9">
        <f>DEGREES(ATAN((Inputs!$B$13*TANH(Inputs!$B$14*(Inputs!$B$12*A74*1000/(Inputs!$B$21^2)))*Inputs!$B$21^2/Inputs!$B$12)/((Inputs!$B$12*((Inputs!$B$15*(Inputs!$B$12*A74*1000/(Inputs!$B$21^2))^Inputs!$B$16*Inputs!$B$21/Inputs!$B$12))^2/(2*PI())))))</f>
        <v>5.9575519210250052</v>
      </c>
      <c r="D74" s="9">
        <f>DEGREES(ATAN((Inputs!$B$13*TANH(Inputs!$B$14*(Inputs!$B$12*A74*1000/(Inputs!$B$22^2)))*Inputs!$B$22^2/Inputs!$B$12)/((Inputs!$B$12*((Inputs!$B$15*(Inputs!$B$12*A74*1000/(Inputs!$B$22^2))^Inputs!$B$16*Inputs!$B$22/Inputs!$B$12))^2/(2*PI())))))</f>
        <v>8.7068440501526574</v>
      </c>
      <c r="E74" s="9">
        <f>DEGREES(ATAN((Inputs!$B$13*TANH(Inputs!$B$14*(Inputs!$B$12*A74*1000/(Inputs!$B$23^2)))*Inputs!$B$23^2/Inputs!$B$12)/((Inputs!$B$12*((Inputs!$B$15*(Inputs!$B$12*A74*1000/(Inputs!$B$23^2))^Inputs!$B$16*Inputs!$B$23/Inputs!$B$12))^2/(2*PI())))))</f>
        <v>11.651718334555607</v>
      </c>
    </row>
    <row r="75" spans="1:5" x14ac:dyDescent="0.25">
      <c r="A75" s="4">
        <v>74</v>
      </c>
      <c r="B75" s="9">
        <f>DEGREES(ATAN((Inputs!$B$13*TANH(Inputs!$B$14*(Inputs!$B$12*A75*1000/(Inputs!$B$20^2)))*Inputs!$B$20^2/Inputs!$B$12)/((Inputs!$B$12*((Inputs!$B$15*(Inputs!$B$12*A75*1000/(Inputs!$B$20^2))^Inputs!$B$16*Inputs!$B$20/Inputs!$B$12))^2/(2*PI())))))</f>
        <v>3.4465539611747165</v>
      </c>
      <c r="C75" s="9">
        <f>DEGREES(ATAN((Inputs!$B$13*TANH(Inputs!$B$14*(Inputs!$B$12*A75*1000/(Inputs!$B$21^2)))*Inputs!$B$21^2/Inputs!$B$12)/((Inputs!$B$12*((Inputs!$B$15*(Inputs!$B$12*A75*1000/(Inputs!$B$21^2))^Inputs!$B$16*Inputs!$B$21/Inputs!$B$12))^2/(2*PI())))))</f>
        <v>5.9041403785764031</v>
      </c>
      <c r="D75" s="9">
        <f>DEGREES(ATAN((Inputs!$B$13*TANH(Inputs!$B$14*(Inputs!$B$12*A75*1000/(Inputs!$B$22^2)))*Inputs!$B$22^2/Inputs!$B$12)/((Inputs!$B$12*((Inputs!$B$15*(Inputs!$B$12*A75*1000/(Inputs!$B$22^2))^Inputs!$B$16*Inputs!$B$22/Inputs!$B$12))^2/(2*PI())))))</f>
        <v>8.6294150610675597</v>
      </c>
      <c r="E75" s="9">
        <f>DEGREES(ATAN((Inputs!$B$13*TANH(Inputs!$B$14*(Inputs!$B$12*A75*1000/(Inputs!$B$23^2)))*Inputs!$B$23^2/Inputs!$B$12)/((Inputs!$B$12*((Inputs!$B$15*(Inputs!$B$12*A75*1000/(Inputs!$B$23^2))^Inputs!$B$16*Inputs!$B$23/Inputs!$B$12))^2/(2*PI())))))</f>
        <v>11.549349194227542</v>
      </c>
    </row>
    <row r="76" spans="1:5" x14ac:dyDescent="0.25">
      <c r="A76" s="4">
        <v>75</v>
      </c>
      <c r="B76" s="9">
        <f>DEGREES(ATAN((Inputs!$B$13*TANH(Inputs!$B$14*(Inputs!$B$12*A76*1000/(Inputs!$B$20^2)))*Inputs!$B$20^2/Inputs!$B$12)/((Inputs!$B$12*((Inputs!$B$15*(Inputs!$B$12*A76*1000/(Inputs!$B$20^2))^Inputs!$B$16*Inputs!$B$20/Inputs!$B$12))^2/(2*PI())))))</f>
        <v>3.4159224712819998</v>
      </c>
      <c r="C76" s="9">
        <f>DEGREES(ATAN((Inputs!$B$13*TANH(Inputs!$B$14*(Inputs!$B$12*A76*1000/(Inputs!$B$21^2)))*Inputs!$B$21^2/Inputs!$B$12)/((Inputs!$B$12*((Inputs!$B$15*(Inputs!$B$12*A76*1000/(Inputs!$B$21^2))^Inputs!$B$16*Inputs!$B$21/Inputs!$B$12))^2/(2*PI())))))</f>
        <v>5.8519084596122601</v>
      </c>
      <c r="D76" s="9">
        <f>DEGREES(ATAN((Inputs!$B$13*TANH(Inputs!$B$14*(Inputs!$B$12*A76*1000/(Inputs!$B$22^2)))*Inputs!$B$22^2/Inputs!$B$12)/((Inputs!$B$12*((Inputs!$B$15*(Inputs!$B$12*A76*1000/(Inputs!$B$22^2))^Inputs!$B$16*Inputs!$B$22/Inputs!$B$12))^2/(2*PI())))))</f>
        <v>8.5536798505284946</v>
      </c>
      <c r="E76" s="9">
        <f>DEGREES(ATAN((Inputs!$B$13*TANH(Inputs!$B$14*(Inputs!$B$12*A76*1000/(Inputs!$B$23^2)))*Inputs!$B$23^2/Inputs!$B$12)/((Inputs!$B$12*((Inputs!$B$15*(Inputs!$B$12*A76*1000/(Inputs!$B$23^2))^Inputs!$B$16*Inputs!$B$23/Inputs!$B$12))^2/(2*PI())))))</f>
        <v>11.449187691289151</v>
      </c>
    </row>
    <row r="77" spans="1:5" x14ac:dyDescent="0.25">
      <c r="A77" s="4">
        <v>76</v>
      </c>
      <c r="B77" s="9">
        <f>DEGREES(ATAN((Inputs!$B$13*TANH(Inputs!$B$14*(Inputs!$B$12*A77*1000/(Inputs!$B$20^2)))*Inputs!$B$20^2/Inputs!$B$12)/((Inputs!$B$12*((Inputs!$B$15*(Inputs!$B$12*A77*1000/(Inputs!$B$20^2))^Inputs!$B$16*Inputs!$B$20/Inputs!$B$12))^2/(2*PI())))))</f>
        <v>3.385962318464109</v>
      </c>
      <c r="C77" s="9">
        <f>DEGREES(ATAN((Inputs!$B$13*TANH(Inputs!$B$14*(Inputs!$B$12*A77*1000/(Inputs!$B$21^2)))*Inputs!$B$21^2/Inputs!$B$12)/((Inputs!$B$12*((Inputs!$B$15*(Inputs!$B$12*A77*1000/(Inputs!$B$21^2))^Inputs!$B$16*Inputs!$B$21/Inputs!$B$12))^2/(2*PI())))))</f>
        <v>5.8008150665143043</v>
      </c>
      <c r="D77" s="9">
        <f>DEGREES(ATAN((Inputs!$B$13*TANH(Inputs!$B$14*(Inputs!$B$12*A77*1000/(Inputs!$B$22^2)))*Inputs!$B$22^2/Inputs!$B$12)/((Inputs!$B$12*((Inputs!$B$15*(Inputs!$B$12*A77*1000/(Inputs!$B$22^2))^Inputs!$B$16*Inputs!$B$22/Inputs!$B$12))^2/(2*PI())))))</f>
        <v>8.4795800294246924</v>
      </c>
      <c r="E77" s="9">
        <f>DEGREES(ATAN((Inputs!$B$13*TANH(Inputs!$B$14*(Inputs!$B$12*A77*1000/(Inputs!$B$23^2)))*Inputs!$B$23^2/Inputs!$B$12)/((Inputs!$B$12*((Inputs!$B$15*(Inputs!$B$12*A77*1000/(Inputs!$B$23^2))^Inputs!$B$16*Inputs!$B$23/Inputs!$B$12))^2/(2*PI())))))</f>
        <v>11.351158912983779</v>
      </c>
    </row>
    <row r="78" spans="1:5" x14ac:dyDescent="0.25">
      <c r="A78" s="4">
        <v>77</v>
      </c>
      <c r="B78" s="9">
        <f>DEGREES(ATAN((Inputs!$B$13*TANH(Inputs!$B$14*(Inputs!$B$12*A78*1000/(Inputs!$B$20^2)))*Inputs!$B$20^2/Inputs!$B$12)/((Inputs!$B$12*((Inputs!$B$15*(Inputs!$B$12*A78*1000/(Inputs!$B$20^2))^Inputs!$B$16*Inputs!$B$20/Inputs!$B$12))^2/(2*PI())))))</f>
        <v>3.3566502746134135</v>
      </c>
      <c r="C78" s="9">
        <f>DEGREES(ATAN((Inputs!$B$13*TANH(Inputs!$B$14*(Inputs!$B$12*A78*1000/(Inputs!$B$21^2)))*Inputs!$B$21^2/Inputs!$B$12)/((Inputs!$B$12*((Inputs!$B$15*(Inputs!$B$12*A78*1000/(Inputs!$B$21^2))^Inputs!$B$16*Inputs!$B$21/Inputs!$B$12))^2/(2*PI())))))</f>
        <v>5.7508210434663329</v>
      </c>
      <c r="D78" s="9">
        <f>DEGREES(ATAN((Inputs!$B$13*TANH(Inputs!$B$14*(Inputs!$B$12*A78*1000/(Inputs!$B$22^2)))*Inputs!$B$22^2/Inputs!$B$12)/((Inputs!$B$12*((Inputs!$B$15*(Inputs!$B$12*A78*1000/(Inputs!$B$22^2))^Inputs!$B$16*Inputs!$B$22/Inputs!$B$12))^2/(2*PI())))))</f>
        <v>8.407059936258074</v>
      </c>
      <c r="E78" s="9">
        <f>DEGREES(ATAN((Inputs!$B$13*TANH(Inputs!$B$14*(Inputs!$B$12*A78*1000/(Inputs!$B$23^2)))*Inputs!$B$23^2/Inputs!$B$12)/((Inputs!$B$12*((Inputs!$B$15*(Inputs!$B$12*A78*1000/(Inputs!$B$23^2))^Inputs!$B$16*Inputs!$B$23/Inputs!$B$12))^2/(2*PI())))))</f>
        <v>11.255191387346235</v>
      </c>
    </row>
    <row r="79" spans="1:5" x14ac:dyDescent="0.25">
      <c r="A79" s="4">
        <v>78</v>
      </c>
      <c r="B79" s="9">
        <f>DEGREES(ATAN((Inputs!$B$13*TANH(Inputs!$B$14*(Inputs!$B$12*A79*1000/(Inputs!$B$20^2)))*Inputs!$B$20^2/Inputs!$B$12)/((Inputs!$B$12*((Inputs!$B$15*(Inputs!$B$12*A79*1000/(Inputs!$B$20^2))^Inputs!$B$16*Inputs!$B$20/Inputs!$B$12))^2/(2*PI())))))</f>
        <v>3.3279642022456288</v>
      </c>
      <c r="C79" s="9">
        <f>DEGREES(ATAN((Inputs!$B$13*TANH(Inputs!$B$14*(Inputs!$B$12*A79*1000/(Inputs!$B$21^2)))*Inputs!$B$21^2/Inputs!$B$12)/((Inputs!$B$12*((Inputs!$B$15*(Inputs!$B$12*A79*1000/(Inputs!$B$21^2))^Inputs!$B$16*Inputs!$B$21/Inputs!$B$12))^2/(2*PI())))))</f>
        <v>5.7018890612484423</v>
      </c>
      <c r="D79" s="9">
        <f>DEGREES(ATAN((Inputs!$B$13*TANH(Inputs!$B$14*(Inputs!$B$12*A79*1000/(Inputs!$B$22^2)))*Inputs!$B$22^2/Inputs!$B$12)/((Inputs!$B$12*((Inputs!$B$15*(Inputs!$B$12*A79*1000/(Inputs!$B$22^2))^Inputs!$B$16*Inputs!$B$22/Inputs!$B$12))^2/(2*PI())))))</f>
        <v>8.3360664772458044</v>
      </c>
      <c r="E79" s="9">
        <f>DEGREES(ATAN((Inputs!$B$13*TANH(Inputs!$B$14*(Inputs!$B$12*A79*1000/(Inputs!$B$23^2)))*Inputs!$B$23^2/Inputs!$B$12)/((Inputs!$B$12*((Inputs!$B$15*(Inputs!$B$12*A79*1000/(Inputs!$B$23^2))^Inputs!$B$16*Inputs!$B$23/Inputs!$B$12))^2/(2*PI())))))</f>
        <v>11.161216885065819</v>
      </c>
    </row>
    <row r="80" spans="1:5" x14ac:dyDescent="0.25">
      <c r="A80" s="4">
        <v>79</v>
      </c>
      <c r="B80" s="9">
        <f>DEGREES(ATAN((Inputs!$B$13*TANH(Inputs!$B$14*(Inputs!$B$12*A80*1000/(Inputs!$B$20^2)))*Inputs!$B$20^2/Inputs!$B$12)/((Inputs!$B$12*((Inputs!$B$15*(Inputs!$B$12*A80*1000/(Inputs!$B$20^2))^Inputs!$B$16*Inputs!$B$20/Inputs!$B$12))^2/(2*PI())))))</f>
        <v>3.2998829901647402</v>
      </c>
      <c r="C80" s="9">
        <f>DEGREES(ATAN((Inputs!$B$13*TANH(Inputs!$B$14*(Inputs!$B$12*A80*1000/(Inputs!$B$21^2)))*Inputs!$B$21^2/Inputs!$B$12)/((Inputs!$B$12*((Inputs!$B$15*(Inputs!$B$12*A80*1000/(Inputs!$B$21^2))^Inputs!$B$16*Inputs!$B$21/Inputs!$B$12))^2/(2*PI())))))</f>
        <v>5.6539835102221296</v>
      </c>
      <c r="D80" s="9">
        <f>DEGREES(ATAN((Inputs!$B$13*TANH(Inputs!$B$14*(Inputs!$B$12*A80*1000/(Inputs!$B$22^2)))*Inputs!$B$22^2/Inputs!$B$12)/((Inputs!$B$12*((Inputs!$B$15*(Inputs!$B$12*A80*1000/(Inputs!$B$22^2))^Inputs!$B$16*Inputs!$B$22/Inputs!$B$12))^2/(2*PI())))))</f>
        <v>8.2665489776496024</v>
      </c>
      <c r="E80" s="9">
        <f>DEGREES(ATAN((Inputs!$B$13*TANH(Inputs!$B$14*(Inputs!$B$12*A80*1000/(Inputs!$B$23^2)))*Inputs!$B$23^2/Inputs!$B$12)/((Inputs!$B$12*((Inputs!$B$15*(Inputs!$B$12*A80*1000/(Inputs!$B$23^2))^Inputs!$B$16*Inputs!$B$23/Inputs!$B$12))^2/(2*PI())))))</f>
        <v>11.069170235004442</v>
      </c>
    </row>
    <row r="81" spans="1:5" x14ac:dyDescent="0.25">
      <c r="A81" s="4">
        <v>80</v>
      </c>
      <c r="B81" s="9">
        <f>DEGREES(ATAN((Inputs!$B$13*TANH(Inputs!$B$14*(Inputs!$B$12*A81*1000/(Inputs!$B$20^2)))*Inputs!$B$20^2/Inputs!$B$12)/((Inputs!$B$12*((Inputs!$B$15*(Inputs!$B$12*A81*1000/(Inputs!$B$20^2))^Inputs!$B$16*Inputs!$B$20/Inputs!$B$12))^2/(2*PI())))))</f>
        <v>3.2723864936778346</v>
      </c>
      <c r="C81" s="9">
        <f>DEGREES(ATAN((Inputs!$B$13*TANH(Inputs!$B$14*(Inputs!$B$12*A81*1000/(Inputs!$B$21^2)))*Inputs!$B$21^2/Inputs!$B$12)/((Inputs!$B$12*((Inputs!$B$15*(Inputs!$B$12*A81*1000/(Inputs!$B$21^2))^Inputs!$B$16*Inputs!$B$21/Inputs!$B$12))^2/(2*PI())))))</f>
        <v>5.6070704008297287</v>
      </c>
      <c r="D81" s="9">
        <f>DEGREES(ATAN((Inputs!$B$13*TANH(Inputs!$B$14*(Inputs!$B$12*A81*1000/(Inputs!$B$22^2)))*Inputs!$B$22^2/Inputs!$B$12)/((Inputs!$B$12*((Inputs!$B$15*(Inputs!$B$12*A81*1000/(Inputs!$B$22^2))^Inputs!$B$16*Inputs!$B$22/Inputs!$B$12))^2/(2*PI())))))</f>
        <v>8.1984590434167952</v>
      </c>
      <c r="E81" s="9">
        <f>DEGREES(ATAN((Inputs!$B$13*TANH(Inputs!$B$14*(Inputs!$B$12*A81*1000/(Inputs!$B$23^2)))*Inputs!$B$23^2/Inputs!$B$12)/((Inputs!$B$12*((Inputs!$B$15*(Inputs!$B$12*A81*1000/(Inputs!$B$23^2))^Inputs!$B$16*Inputs!$B$23/Inputs!$B$12))^2/(2*PI())))))</f>
        <v>10.978989152278034</v>
      </c>
    </row>
    <row r="82" spans="1:5" x14ac:dyDescent="0.25">
      <c r="A82" s="4">
        <v>81</v>
      </c>
      <c r="B82" s="9">
        <f>DEGREES(ATAN((Inputs!$B$13*TANH(Inputs!$B$14*(Inputs!$B$12*A82*1000/(Inputs!$B$20^2)))*Inputs!$B$20^2/Inputs!$B$12)/((Inputs!$B$12*((Inputs!$B$15*(Inputs!$B$12*A82*1000/(Inputs!$B$20^2))^Inputs!$B$16*Inputs!$B$20/Inputs!$B$12))^2/(2*PI())))))</f>
        <v>3.2454554789860048</v>
      </c>
      <c r="C82" s="9">
        <f>DEGREES(ATAN((Inputs!$B$13*TANH(Inputs!$B$14*(Inputs!$B$12*A82*1000/(Inputs!$B$21^2)))*Inputs!$B$21^2/Inputs!$B$12)/((Inputs!$B$12*((Inputs!$B$15*(Inputs!$B$12*A82*1000/(Inputs!$B$21^2))^Inputs!$B$16*Inputs!$B$21/Inputs!$B$12))^2/(2*PI())))))</f>
        <v>5.561117270995549</v>
      </c>
      <c r="D82" s="9">
        <f>DEGREES(ATAN((Inputs!$B$13*TANH(Inputs!$B$14*(Inputs!$B$12*A82*1000/(Inputs!$B$22^2)))*Inputs!$B$22^2/Inputs!$B$12)/((Inputs!$B$12*((Inputs!$B$15*(Inputs!$B$12*A82*1000/(Inputs!$B$22^2))^Inputs!$B$16*Inputs!$B$22/Inputs!$B$12))^2/(2*PI())))))</f>
        <v>8.1317504323028444</v>
      </c>
      <c r="E82" s="9">
        <f>DEGREES(ATAN((Inputs!$B$13*TANH(Inputs!$B$14*(Inputs!$B$12*A82*1000/(Inputs!$B$23^2)))*Inputs!$B$23^2/Inputs!$B$12)/((Inputs!$B$12*((Inputs!$B$15*(Inputs!$B$12*A82*1000/(Inputs!$B$23^2))^Inputs!$B$16*Inputs!$B$23/Inputs!$B$12))^2/(2*PI())))))</f>
        <v>10.89061407790865</v>
      </c>
    </row>
    <row r="83" spans="1:5" x14ac:dyDescent="0.25">
      <c r="A83" s="4">
        <v>82</v>
      </c>
      <c r="B83" s="9">
        <f>DEGREES(ATAN((Inputs!$B$13*TANH(Inputs!$B$14*(Inputs!$B$12*A83*1000/(Inputs!$B$20^2)))*Inputs!$B$20^2/Inputs!$B$12)/((Inputs!$B$12*((Inputs!$B$15*(Inputs!$B$12*A83*1000/(Inputs!$B$20^2))^Inputs!$B$16*Inputs!$B$20/Inputs!$B$12))^2/(2*PI())))))</f>
        <v>3.2190715714123588</v>
      </c>
      <c r="C83" s="9">
        <f>DEGREES(ATAN((Inputs!$B$13*TANH(Inputs!$B$14*(Inputs!$B$12*A83*1000/(Inputs!$B$21^2)))*Inputs!$B$21^2/Inputs!$B$12)/((Inputs!$B$12*((Inputs!$B$15*(Inputs!$B$12*A83*1000/(Inputs!$B$21^2))^Inputs!$B$16*Inputs!$B$21/Inputs!$B$12))^2/(2*PI())))))</f>
        <v>5.5160930998725028</v>
      </c>
      <c r="D83" s="9">
        <f>DEGREES(ATAN((Inputs!$B$13*TANH(Inputs!$B$14*(Inputs!$B$12*A83*1000/(Inputs!$B$22^2)))*Inputs!$B$22^2/Inputs!$B$12)/((Inputs!$B$12*((Inputs!$B$15*(Inputs!$B$12*A83*1000/(Inputs!$B$22^2))^Inputs!$B$16*Inputs!$B$22/Inputs!$B$12))^2/(2*PI())))))</f>
        <v>8.0663789337207952</v>
      </c>
      <c r="E83" s="9">
        <f>DEGREES(ATAN((Inputs!$B$13*TANH(Inputs!$B$14*(Inputs!$B$12*A83*1000/(Inputs!$B$23^2)))*Inputs!$B$23^2/Inputs!$B$12)/((Inputs!$B$12*((Inputs!$B$15*(Inputs!$B$12*A83*1000/(Inputs!$B$23^2))^Inputs!$B$16*Inputs!$B$23/Inputs!$B$12))^2/(2*PI())))))</f>
        <v>10.80398802914373</v>
      </c>
    </row>
    <row r="84" spans="1:5" x14ac:dyDescent="0.25">
      <c r="A84" s="4">
        <v>83</v>
      </c>
      <c r="B84" s="9">
        <f>DEGREES(ATAN((Inputs!$B$13*TANH(Inputs!$B$14*(Inputs!$B$12*A84*1000/(Inputs!$B$20^2)))*Inputs!$B$20^2/Inputs!$B$12)/((Inputs!$B$12*((Inputs!$B$15*(Inputs!$B$12*A84*1000/(Inputs!$B$20^2))^Inputs!$B$16*Inputs!$B$20/Inputs!$B$12))^2/(2*PI())))))</f>
        <v>3.1932172071595373</v>
      </c>
      <c r="C84" s="9">
        <f>DEGREES(ATAN((Inputs!$B$13*TANH(Inputs!$B$14*(Inputs!$B$12*A84*1000/(Inputs!$B$21^2)))*Inputs!$B$21^2/Inputs!$B$12)/((Inputs!$B$12*((Inputs!$B$15*(Inputs!$B$12*A84*1000/(Inputs!$B$21^2))^Inputs!$B$16*Inputs!$B$21/Inputs!$B$12))^2/(2*PI())))))</f>
        <v>5.4719682274290484</v>
      </c>
      <c r="D84" s="9">
        <f>DEGREES(ATAN((Inputs!$B$13*TANH(Inputs!$B$14*(Inputs!$B$12*A84*1000/(Inputs!$B$22^2)))*Inputs!$B$22^2/Inputs!$B$12)/((Inputs!$B$12*((Inputs!$B$15*(Inputs!$B$12*A84*1000/(Inputs!$B$22^2))^Inputs!$B$16*Inputs!$B$22/Inputs!$B$12))^2/(2*PI())))))</f>
        <v>8.0023022566314417</v>
      </c>
      <c r="E84" s="9">
        <f>DEGREES(ATAN((Inputs!$B$13*TANH(Inputs!$B$14*(Inputs!$B$12*A84*1000/(Inputs!$B$23^2)))*Inputs!$B$23^2/Inputs!$B$12)/((Inputs!$B$12*((Inputs!$B$15*(Inputs!$B$12*A84*1000/(Inputs!$B$23^2))^Inputs!$B$16*Inputs!$B$23/Inputs!$B$12))^2/(2*PI())))))</f>
        <v>10.719056459618511</v>
      </c>
    </row>
    <row r="85" spans="1:5" x14ac:dyDescent="0.25">
      <c r="A85" s="4">
        <v>84</v>
      </c>
      <c r="B85" s="9">
        <f>DEGREES(ATAN((Inputs!$B$13*TANH(Inputs!$B$14*(Inputs!$B$12*A85*1000/(Inputs!$B$20^2)))*Inputs!$B$20^2/Inputs!$B$12)/((Inputs!$B$12*((Inputs!$B$15*(Inputs!$B$12*A85*1000/(Inputs!$B$20^2))^Inputs!$B$16*Inputs!$B$20/Inputs!$B$12))^2/(2*PI())))))</f>
        <v>3.1678755883168974</v>
      </c>
      <c r="C85" s="9">
        <f>DEGREES(ATAN((Inputs!$B$13*TANH(Inputs!$B$14*(Inputs!$B$12*A85*1000/(Inputs!$B$21^2)))*Inputs!$B$21^2/Inputs!$B$12)/((Inputs!$B$12*((Inputs!$B$15*(Inputs!$B$12*A85*1000/(Inputs!$B$21^2))^Inputs!$B$16*Inputs!$B$21/Inputs!$B$12))^2/(2*PI())))))</f>
        <v>5.4287142794168588</v>
      </c>
      <c r="D85" s="9">
        <f>DEGREES(ATAN((Inputs!$B$13*TANH(Inputs!$B$14*(Inputs!$B$12*A85*1000/(Inputs!$B$22^2)))*Inputs!$B$22^2/Inputs!$B$12)/((Inputs!$B$12*((Inputs!$B$15*(Inputs!$B$12*A85*1000/(Inputs!$B$22^2))^Inputs!$B$16*Inputs!$B$22/Inputs!$B$12))^2/(2*PI())))))</f>
        <v>7.9394799248490759</v>
      </c>
      <c r="E85" s="9">
        <f>DEGREES(ATAN((Inputs!$B$13*TANH(Inputs!$B$14*(Inputs!$B$12*A85*1000/(Inputs!$B$23^2)))*Inputs!$B$23^2/Inputs!$B$12)/((Inputs!$B$12*((Inputs!$B$15*(Inputs!$B$12*A85*1000/(Inputs!$B$23^2))^Inputs!$B$16*Inputs!$B$23/Inputs!$B$12))^2/(2*PI())))))</f>
        <v>10.635767128610778</v>
      </c>
    </row>
    <row r="86" spans="1:5" x14ac:dyDescent="0.25">
      <c r="A86" s="4">
        <v>85</v>
      </c>
      <c r="B86" s="9">
        <f>DEGREES(ATAN((Inputs!$B$13*TANH(Inputs!$B$14*(Inputs!$B$12*A86*1000/(Inputs!$B$20^2)))*Inputs!$B$20^2/Inputs!$B$12)/((Inputs!$B$12*((Inputs!$B$15*(Inputs!$B$12*A86*1000/(Inputs!$B$20^2))^Inputs!$B$16*Inputs!$B$20/Inputs!$B$12))^2/(2*PI())))))</f>
        <v>3.1430306408630573</v>
      </c>
      <c r="C86" s="9">
        <f>DEGREES(ATAN((Inputs!$B$13*TANH(Inputs!$B$14*(Inputs!$B$12*A86*1000/(Inputs!$B$21^2)))*Inputs!$B$21^2/Inputs!$B$12)/((Inputs!$B$12*((Inputs!$B$15*(Inputs!$B$12*A86*1000/(Inputs!$B$21^2))^Inputs!$B$16*Inputs!$B$21/Inputs!$B$12))^2/(2*PI())))))</f>
        <v>5.3863040973009344</v>
      </c>
      <c r="D86" s="9">
        <f>DEGREES(ATAN((Inputs!$B$13*TANH(Inputs!$B$14*(Inputs!$B$12*A86*1000/(Inputs!$B$22^2)))*Inputs!$B$22^2/Inputs!$B$12)/((Inputs!$B$12*((Inputs!$B$15*(Inputs!$B$12*A86*1000/(Inputs!$B$22^2))^Inputs!$B$16*Inputs!$B$22/Inputs!$B$12))^2/(2*PI())))))</f>
        <v>7.8778731791931396</v>
      </c>
      <c r="E86" s="9">
        <f>DEGREES(ATAN((Inputs!$B$13*TANH(Inputs!$B$14*(Inputs!$B$12*A86*1000/(Inputs!$B$23^2)))*Inputs!$B$23^2/Inputs!$B$12)/((Inputs!$B$12*((Inputs!$B$15*(Inputs!$B$12*A86*1000/(Inputs!$B$23^2))^Inputs!$B$16*Inputs!$B$23/Inputs!$B$12))^2/(2*PI())))))</f>
        <v>10.554069978701076</v>
      </c>
    </row>
    <row r="87" spans="1:5" x14ac:dyDescent="0.25">
      <c r="A87" s="4">
        <v>86</v>
      </c>
      <c r="B87" s="9">
        <f>DEGREES(ATAN((Inputs!$B$13*TANH(Inputs!$B$14*(Inputs!$B$12*A87*1000/(Inputs!$B$20^2)))*Inputs!$B$20^2/Inputs!$B$12)/((Inputs!$B$12*((Inputs!$B$15*(Inputs!$B$12*A87*1000/(Inputs!$B$20^2))^Inputs!$B$16*Inputs!$B$20/Inputs!$B$12))^2/(2*PI())))))</f>
        <v>3.1186669754319056</v>
      </c>
      <c r="C87" s="9">
        <f>DEGREES(ATAN((Inputs!$B$13*TANH(Inputs!$B$14*(Inputs!$B$12*A87*1000/(Inputs!$B$21^2)))*Inputs!$B$21^2/Inputs!$B$12)/((Inputs!$B$12*((Inputs!$B$15*(Inputs!$B$12*A87*1000/(Inputs!$B$21^2))^Inputs!$B$16*Inputs!$B$21/Inputs!$B$12))^2/(2*PI())))))</f>
        <v>5.3447116727703996</v>
      </c>
      <c r="D87" s="9">
        <f>DEGREES(ATAN((Inputs!$B$13*TANH(Inputs!$B$14*(Inputs!$B$12*A87*1000/(Inputs!$B$22^2)))*Inputs!$B$22^2/Inputs!$B$12)/((Inputs!$B$12*((Inputs!$B$15*(Inputs!$B$12*A87*1000/(Inputs!$B$22^2))^Inputs!$B$16*Inputs!$B$22/Inputs!$B$12))^2/(2*PI())))))</f>
        <v>7.8174448859655028</v>
      </c>
      <c r="E87" s="9">
        <f>DEGREES(ATAN((Inputs!$B$13*TANH(Inputs!$B$14*(Inputs!$B$12*A87*1000/(Inputs!$B$23^2)))*Inputs!$B$23^2/Inputs!$B$12)/((Inputs!$B$12*((Inputs!$B$15*(Inputs!$B$12*A87*1000/(Inputs!$B$23^2))^Inputs!$B$16*Inputs!$B$23/Inputs!$B$12))^2/(2*PI())))))</f>
        <v>10.473917021211175</v>
      </c>
    </row>
    <row r="88" spans="1:5" x14ac:dyDescent="0.25">
      <c r="A88" s="4">
        <v>87</v>
      </c>
      <c r="B88" s="9">
        <f>DEGREES(ATAN((Inputs!$B$13*TANH(Inputs!$B$14*(Inputs!$B$12*A88*1000/(Inputs!$B$20^2)))*Inputs!$B$20^2/Inputs!$B$12)/((Inputs!$B$12*((Inputs!$B$15*(Inputs!$B$12*A88*1000/(Inputs!$B$20^2))^Inputs!$B$16*Inputs!$B$20/Inputs!$B$12))^2/(2*PI())))))</f>
        <v>3.0947698506305668</v>
      </c>
      <c r="C88" s="9">
        <f>DEGREES(ATAN((Inputs!$B$13*TANH(Inputs!$B$14*(Inputs!$B$12*A88*1000/(Inputs!$B$21^2)))*Inputs!$B$21^2/Inputs!$B$12)/((Inputs!$B$12*((Inputs!$B$15*(Inputs!$B$12*A88*1000/(Inputs!$B$21^2))^Inputs!$B$16*Inputs!$B$21/Inputs!$B$12))^2/(2*PI())))))</f>
        <v>5.3039120864822307</v>
      </c>
      <c r="D88" s="9">
        <f>DEGREES(ATAN((Inputs!$B$13*TANH(Inputs!$B$14*(Inputs!$B$12*A88*1000/(Inputs!$B$22^2)))*Inputs!$B$22^2/Inputs!$B$12)/((Inputs!$B$12*((Inputs!$B$15*(Inputs!$B$12*A88*1000/(Inputs!$B$22^2))^Inputs!$B$16*Inputs!$B$22/Inputs!$B$12))^2/(2*PI())))))</f>
        <v>7.758159451278325</v>
      </c>
      <c r="E88" s="9">
        <f>DEGREES(ATAN((Inputs!$B$13*TANH(Inputs!$B$14*(Inputs!$B$12*A88*1000/(Inputs!$B$23^2)))*Inputs!$B$23^2/Inputs!$B$12)/((Inputs!$B$12*((Inputs!$B$15*(Inputs!$B$12*A88*1000/(Inputs!$B$23^2))^Inputs!$B$16*Inputs!$B$23/Inputs!$B$12))^2/(2*PI())))))</f>
        <v>10.395262228846468</v>
      </c>
    </row>
    <row r="89" spans="1:5" x14ac:dyDescent="0.25">
      <c r="A89" s="4">
        <v>88</v>
      </c>
      <c r="B89" s="9">
        <f>DEGREES(ATAN((Inputs!$B$13*TANH(Inputs!$B$14*(Inputs!$B$12*A89*1000/(Inputs!$B$20^2)))*Inputs!$B$20^2/Inputs!$B$12)/((Inputs!$B$12*((Inputs!$B$15*(Inputs!$B$12*A89*1000/(Inputs!$B$20^2))^Inputs!$B$16*Inputs!$B$20/Inputs!$B$12))^2/(2*PI())))))</f>
        <v>3.0713251387164093</v>
      </c>
      <c r="C89" s="9">
        <f>DEGREES(ATAN((Inputs!$B$13*TANH(Inputs!$B$14*(Inputs!$B$12*A89*1000/(Inputs!$B$21^2)))*Inputs!$B$21^2/Inputs!$B$12)/((Inputs!$B$12*((Inputs!$B$15*(Inputs!$B$12*A89*1000/(Inputs!$B$21^2))^Inputs!$B$16*Inputs!$B$21/Inputs!$B$12))^2/(2*PI())))))</f>
        <v>5.2638814507194347</v>
      </c>
      <c r="D89" s="9">
        <f>DEGREES(ATAN((Inputs!$B$13*TANH(Inputs!$B$14*(Inputs!$B$12*A89*1000/(Inputs!$B$22^2)))*Inputs!$B$22^2/Inputs!$B$12)/((Inputs!$B$12*((Inputs!$B$15*(Inputs!$B$12*A89*1000/(Inputs!$B$22^2))^Inputs!$B$16*Inputs!$B$22/Inputs!$B$12))^2/(2*PI())))))</f>
        <v>7.6999827407977328</v>
      </c>
      <c r="E89" s="9">
        <f>DEGREES(ATAN((Inputs!$B$13*TANH(Inputs!$B$14*(Inputs!$B$12*A89*1000/(Inputs!$B$23^2)))*Inputs!$B$23^2/Inputs!$B$12)/((Inputs!$B$12*((Inputs!$B$15*(Inputs!$B$12*A89*1000/(Inputs!$B$23^2))^Inputs!$B$16*Inputs!$B$23/Inputs!$B$12))^2/(2*PI())))))</f>
        <v>10.318061435015952</v>
      </c>
    </row>
    <row r="90" spans="1:5" x14ac:dyDescent="0.25">
      <c r="A90" s="4">
        <v>89</v>
      </c>
      <c r="B90" s="9">
        <f>DEGREES(ATAN((Inputs!$B$13*TANH(Inputs!$B$14*(Inputs!$B$12*A90*1000/(Inputs!$B$20^2)))*Inputs!$B$20^2/Inputs!$B$12)/((Inputs!$B$12*((Inputs!$B$15*(Inputs!$B$12*A90*1000/(Inputs!$B$20^2))^Inputs!$B$16*Inputs!$B$20/Inputs!$B$12))^2/(2*PI())))))</f>
        <v>3.0483192934565535</v>
      </c>
      <c r="C90" s="9">
        <f>DEGREES(ATAN((Inputs!$B$13*TANH(Inputs!$B$14*(Inputs!$B$12*A90*1000/(Inputs!$B$21^2)))*Inputs!$B$21^2/Inputs!$B$12)/((Inputs!$B$12*((Inputs!$B$15*(Inputs!$B$12*A90*1000/(Inputs!$B$21^2))^Inputs!$B$16*Inputs!$B$21/Inputs!$B$12))^2/(2*PI())))))</f>
        <v>5.2245968556730666</v>
      </c>
      <c r="D90" s="9">
        <f>DEGREES(ATAN((Inputs!$B$13*TANH(Inputs!$B$14*(Inputs!$B$12*A90*1000/(Inputs!$B$22^2)))*Inputs!$B$22^2/Inputs!$B$12)/((Inputs!$B$12*((Inputs!$B$15*(Inputs!$B$12*A90*1000/(Inputs!$B$22^2))^Inputs!$B$16*Inputs!$B$22/Inputs!$B$12))^2/(2*PI())))))</f>
        <v>7.6428820045053465</v>
      </c>
      <c r="E90" s="9">
        <f>DEGREES(ATAN((Inputs!$B$13*TANH(Inputs!$B$14*(Inputs!$B$12*A90*1000/(Inputs!$B$23^2)))*Inputs!$B$23^2/Inputs!$B$12)/((Inputs!$B$12*((Inputs!$B$15*(Inputs!$B$12*A90*1000/(Inputs!$B$23^2))^Inputs!$B$16*Inputs!$B$23/Inputs!$B$12))^2/(2*PI())))))</f>
        <v>10.242272239347633</v>
      </c>
    </row>
    <row r="91" spans="1:5" x14ac:dyDescent="0.25">
      <c r="A91" s="4">
        <v>90</v>
      </c>
      <c r="B91" s="9">
        <f>DEGREES(ATAN((Inputs!$B$13*TANH(Inputs!$B$14*(Inputs!$B$12*A91*1000/(Inputs!$B$20^2)))*Inputs!$B$20^2/Inputs!$B$12)/((Inputs!$B$12*((Inputs!$B$15*(Inputs!$B$12*A91*1000/(Inputs!$B$20^2))^Inputs!$B$16*Inputs!$B$20/Inputs!$B$12))^2/(2*PI())))))</f>
        <v>3.0257393200084439</v>
      </c>
      <c r="C91" s="9">
        <f>DEGREES(ATAN((Inputs!$B$13*TANH(Inputs!$B$14*(Inputs!$B$12*A91*1000/(Inputs!$B$21^2)))*Inputs!$B$21^2/Inputs!$B$12)/((Inputs!$B$12*((Inputs!$B$15*(Inputs!$B$12*A91*1000/(Inputs!$B$21^2))^Inputs!$B$16*Inputs!$B$21/Inputs!$B$12))^2/(2*PI())))))</f>
        <v>5.1860363190816603</v>
      </c>
      <c r="D91" s="9">
        <f>DEGREES(ATAN((Inputs!$B$13*TANH(Inputs!$B$14*(Inputs!$B$12*A91*1000/(Inputs!$B$22^2)))*Inputs!$B$22^2/Inputs!$B$12)/((Inputs!$B$12*((Inputs!$B$15*(Inputs!$B$12*A91*1000/(Inputs!$B$22^2))^Inputs!$B$16*Inputs!$B$22/Inputs!$B$12))^2/(2*PI())))))</f>
        <v>7.5868258061130911</v>
      </c>
      <c r="E91" s="9">
        <f>DEGREES(ATAN((Inputs!$B$13*TANH(Inputs!$B$14*(Inputs!$B$12*A91*1000/(Inputs!$B$23^2)))*Inputs!$B$23^2/Inputs!$B$12)/((Inputs!$B$12*((Inputs!$B$15*(Inputs!$B$12*A91*1000/(Inputs!$B$23^2))^Inputs!$B$16*Inputs!$B$23/Inputs!$B$12))^2/(2*PI())))))</f>
        <v>10.167853918955938</v>
      </c>
    </row>
    <row r="92" spans="1:5" x14ac:dyDescent="0.25">
      <c r="A92" s="4">
        <v>91</v>
      </c>
      <c r="B92" s="9">
        <f>DEGREES(ATAN((Inputs!$B$13*TANH(Inputs!$B$14*(Inputs!$B$12*A92*1000/(Inputs!$B$20^2)))*Inputs!$B$20^2/Inputs!$B$12)/((Inputs!$B$12*((Inputs!$B$15*(Inputs!$B$12*A92*1000/(Inputs!$B$20^2))^Inputs!$B$16*Inputs!$B$20/Inputs!$B$12))^2/(2*PI())))))</f>
        <v>3.003572746673711</v>
      </c>
      <c r="C92" s="9">
        <f>DEGREES(ATAN((Inputs!$B$13*TANH(Inputs!$B$14*(Inputs!$B$12*A92*1000/(Inputs!$B$21^2)))*Inputs!$B$21^2/Inputs!$B$12)/((Inputs!$B$12*((Inputs!$B$15*(Inputs!$B$12*A92*1000/(Inputs!$B$21^2))^Inputs!$B$16*Inputs!$B$21/Inputs!$B$12))^2/(2*PI())))))</f>
        <v>5.1481787389839653</v>
      </c>
      <c r="D92" s="9">
        <f>DEGREES(ATAN((Inputs!$B$13*TANH(Inputs!$B$14*(Inputs!$B$12*A92*1000/(Inputs!$B$22^2)))*Inputs!$B$22^2/Inputs!$B$12)/((Inputs!$B$12*((Inputs!$B$15*(Inputs!$B$12*A92*1000/(Inputs!$B$22^2))^Inputs!$B$16*Inputs!$B$22/Inputs!$B$12))^2/(2*PI())))))</f>
        <v>7.5317839567964731</v>
      </c>
      <c r="E92" s="9">
        <f>DEGREES(ATAN((Inputs!$B$13*TANH(Inputs!$B$14*(Inputs!$B$12*A92*1000/(Inputs!$B$23^2)))*Inputs!$B$23^2/Inputs!$B$12)/((Inputs!$B$12*((Inputs!$B$15*(Inputs!$B$12*A92*1000/(Inputs!$B$23^2))^Inputs!$B$16*Inputs!$B$23/Inputs!$B$12))^2/(2*PI())))))</f>
        <v>10.094767345054724</v>
      </c>
    </row>
    <row r="93" spans="1:5" x14ac:dyDescent="0.25">
      <c r="A93" s="4">
        <v>92</v>
      </c>
      <c r="B93" s="9">
        <f>DEGREES(ATAN((Inputs!$B$13*TANH(Inputs!$B$14*(Inputs!$B$12*A93*1000/(Inputs!$B$20^2)))*Inputs!$B$20^2/Inputs!$B$12)/((Inputs!$B$12*((Inputs!$B$15*(Inputs!$B$12*A93*1000/(Inputs!$B$20^2))^Inputs!$B$16*Inputs!$B$20/Inputs!$B$12))^2/(2*PI())))))</f>
        <v>2.9818075983896648</v>
      </c>
      <c r="C93" s="9">
        <f>DEGREES(ATAN((Inputs!$B$13*TANH(Inputs!$B$14*(Inputs!$B$12*A93*1000/(Inputs!$B$21^2)))*Inputs!$B$21^2/Inputs!$B$12)/((Inputs!$B$12*((Inputs!$B$15*(Inputs!$B$12*A93*1000/(Inputs!$B$21^2))^Inputs!$B$16*Inputs!$B$21/Inputs!$B$12))^2/(2*PI())))))</f>
        <v>5.1110038493611496</v>
      </c>
      <c r="D93" s="9">
        <f>DEGREES(ATAN((Inputs!$B$13*TANH(Inputs!$B$14*(Inputs!$B$12*A93*1000/(Inputs!$B$22^2)))*Inputs!$B$22^2/Inputs!$B$12)/((Inputs!$B$12*((Inputs!$B$15*(Inputs!$B$12*A93*1000/(Inputs!$B$22^2))^Inputs!$B$16*Inputs!$B$22/Inputs!$B$12))^2/(2*PI())))))</f>
        <v>7.4777274529392059</v>
      </c>
      <c r="E93" s="9">
        <f>DEGREES(ATAN((Inputs!$B$13*TANH(Inputs!$B$14*(Inputs!$B$12*A93*1000/(Inputs!$B$23^2)))*Inputs!$B$23^2/Inputs!$B$12)/((Inputs!$B$12*((Inputs!$B$15*(Inputs!$B$12*A93*1000/(Inputs!$B$23^2))^Inputs!$B$16*Inputs!$B$23/Inputs!$B$12))^2/(2*PI())))))</f>
        <v>10.022974904541316</v>
      </c>
    </row>
    <row r="94" spans="1:5" x14ac:dyDescent="0.25">
      <c r="A94" s="4">
        <v>93</v>
      </c>
      <c r="B94" s="9">
        <f>DEGREES(ATAN((Inputs!$B$13*TANH(Inputs!$B$14*(Inputs!$B$12*A94*1000/(Inputs!$B$20^2)))*Inputs!$B$20^2/Inputs!$B$12)/((Inputs!$B$12*((Inputs!$B$15*(Inputs!$B$12*A94*1000/(Inputs!$B$20^2))^Inputs!$B$16*Inputs!$B$20/Inputs!$B$12))^2/(2*PI())))))</f>
        <v>2.9604323718340924</v>
      </c>
      <c r="C94" s="9">
        <f>DEGREES(ATAN((Inputs!$B$13*TANH(Inputs!$B$14*(Inputs!$B$12*A94*1000/(Inputs!$B$21^2)))*Inputs!$B$21^2/Inputs!$B$12)/((Inputs!$B$12*((Inputs!$B$15*(Inputs!$B$12*A94*1000/(Inputs!$B$21^2))^Inputs!$B$16*Inputs!$B$21/Inputs!$B$12))^2/(2*PI())))))</f>
        <v>5.0744921784628421</v>
      </c>
      <c r="D94" s="9">
        <f>DEGREES(ATAN((Inputs!$B$13*TANH(Inputs!$B$14*(Inputs!$B$12*A94*1000/(Inputs!$B$22^2)))*Inputs!$B$22^2/Inputs!$B$12)/((Inputs!$B$12*((Inputs!$B$15*(Inputs!$B$12*A94*1000/(Inputs!$B$22^2))^Inputs!$B$16*Inputs!$B$22/Inputs!$B$12))^2/(2*PI())))))</f>
        <v>7.4246284176068693</v>
      </c>
      <c r="E94" s="9">
        <f>DEGREES(ATAN((Inputs!$B$13*TANH(Inputs!$B$14*(Inputs!$B$12*A94*1000/(Inputs!$B$23^2)))*Inputs!$B$23^2/Inputs!$B$12)/((Inputs!$B$12*((Inputs!$B$15*(Inputs!$B$12*A94*1000/(Inputs!$B$23^2))^Inputs!$B$16*Inputs!$B$23/Inputs!$B$12))^2/(2*PI())))))</f>
        <v>9.9524404262071577</v>
      </c>
    </row>
    <row r="95" spans="1:5" x14ac:dyDescent="0.25">
      <c r="A95" s="4">
        <v>94</v>
      </c>
      <c r="B95" s="9">
        <f>DEGREES(ATAN((Inputs!$B$13*TANH(Inputs!$B$14*(Inputs!$B$12*A95*1000/(Inputs!$B$20^2)))*Inputs!$B$20^2/Inputs!$B$12)/((Inputs!$B$12*((Inputs!$B$15*(Inputs!$B$12*A95*1000/(Inputs!$B$20^2))^Inputs!$B$16*Inputs!$B$20/Inputs!$B$12))^2/(2*PI())))))</f>
        <v>2.9394360120290632</v>
      </c>
      <c r="C95" s="9">
        <f>DEGREES(ATAN((Inputs!$B$13*TANH(Inputs!$B$14*(Inputs!$B$12*A95*1000/(Inputs!$B$21^2)))*Inputs!$B$21^2/Inputs!$B$12)/((Inputs!$B$12*((Inputs!$B$15*(Inputs!$B$12*A95*1000/(Inputs!$B$21^2))^Inputs!$B$16*Inputs!$B$21/Inputs!$B$12))^2/(2*PI())))))</f>
        <v>5.0386250096281424</v>
      </c>
      <c r="D95" s="9">
        <f>DEGREES(ATAN((Inputs!$B$13*TANH(Inputs!$B$14*(Inputs!$B$12*A95*1000/(Inputs!$B$22^2)))*Inputs!$B$22^2/Inputs!$B$12)/((Inputs!$B$12*((Inputs!$B$15*(Inputs!$B$12*A95*1000/(Inputs!$B$22^2))^Inputs!$B$16*Inputs!$B$22/Inputs!$B$12))^2/(2*PI())))))</f>
        <v>7.372460045489559</v>
      </c>
      <c r="E95" s="9">
        <f>DEGREES(ATAN((Inputs!$B$13*TANH(Inputs!$B$14*(Inputs!$B$12*A95*1000/(Inputs!$B$23^2)))*Inputs!$B$23^2/Inputs!$B$12)/((Inputs!$B$12*((Inputs!$B$15*(Inputs!$B$12*A95*1000/(Inputs!$B$23^2))^Inputs!$B$16*Inputs!$B$23/Inputs!$B$12))^2/(2*PI())))))</f>
        <v>9.8831291112579347</v>
      </c>
    </row>
    <row r="96" spans="1:5" x14ac:dyDescent="0.25">
      <c r="A96" s="4">
        <v>95</v>
      </c>
      <c r="B96" s="9">
        <f>DEGREES(ATAN((Inputs!$B$13*TANH(Inputs!$B$14*(Inputs!$B$12*A96*1000/(Inputs!$B$20^2)))*Inputs!$B$20^2/Inputs!$B$12)/((Inputs!$B$12*((Inputs!$B$15*(Inputs!$B$12*A96*1000/(Inputs!$B$20^2))^Inputs!$B$16*Inputs!$B$20/Inputs!$B$12))^2/(2*PI())))))</f>
        <v>2.9188078903387011</v>
      </c>
      <c r="C96" s="9">
        <f>DEGREES(ATAN((Inputs!$B$13*TANH(Inputs!$B$14*(Inputs!$B$12*A96*1000/(Inputs!$B$21^2)))*Inputs!$B$21^2/Inputs!$B$12)/((Inputs!$B$12*((Inputs!$B$15*(Inputs!$B$12*A96*1000/(Inputs!$B$21^2))^Inputs!$B$16*Inputs!$B$21/Inputs!$B$12))^2/(2*PI())))))</f>
        <v>5.0033843444276886</v>
      </c>
      <c r="D96" s="9">
        <f>DEGREES(ATAN((Inputs!$B$13*TANH(Inputs!$B$14*(Inputs!$B$12*A96*1000/(Inputs!$B$22^2)))*Inputs!$B$22^2/Inputs!$B$12)/((Inputs!$B$12*((Inputs!$B$15*(Inputs!$B$12*A96*1000/(Inputs!$B$22^2))^Inputs!$B$16*Inputs!$B$22/Inputs!$B$12))^2/(2*PI())))))</f>
        <v>7.3211965510746708</v>
      </c>
      <c r="E96" s="9">
        <f>DEGREES(ATAN((Inputs!$B$13*TANH(Inputs!$B$14*(Inputs!$B$12*A96*1000/(Inputs!$B$23^2)))*Inputs!$B$23^2/Inputs!$B$12)/((Inputs!$B$12*((Inputs!$B$15*(Inputs!$B$12*A96*1000/(Inputs!$B$23^2))^Inputs!$B$16*Inputs!$B$23/Inputs!$B$12))^2/(2*PI())))))</f>
        <v>9.8150074678503412</v>
      </c>
    </row>
    <row r="97" spans="1:5" x14ac:dyDescent="0.25">
      <c r="A97" s="4">
        <v>96</v>
      </c>
      <c r="B97" s="9">
        <f>DEGREES(ATAN((Inputs!$B$13*TANH(Inputs!$B$14*(Inputs!$B$12*A97*1000/(Inputs!$B$20^2)))*Inputs!$B$20^2/Inputs!$B$12)/((Inputs!$B$12*((Inputs!$B$15*(Inputs!$B$12*A97*1000/(Inputs!$B$20^2))^Inputs!$B$16*Inputs!$B$20/Inputs!$B$12))^2/(2*PI())))))</f>
        <v>2.8985377837642234</v>
      </c>
      <c r="C97" s="9">
        <f>DEGREES(ATAN((Inputs!$B$13*TANH(Inputs!$B$14*(Inputs!$B$12*A97*1000/(Inputs!$B$21^2)))*Inputs!$B$21^2/Inputs!$B$12)/((Inputs!$B$12*((Inputs!$B$15*(Inputs!$B$12*A97*1000/(Inputs!$B$21^2))^Inputs!$B$16*Inputs!$B$21/Inputs!$B$12))^2/(2*PI())))))</f>
        <v>4.9687528679667894</v>
      </c>
      <c r="D97" s="9">
        <f>DEGREES(ATAN((Inputs!$B$13*TANH(Inputs!$B$14*(Inputs!$B$12*A97*1000/(Inputs!$B$22^2)))*Inputs!$B$22^2/Inputs!$B$12)/((Inputs!$B$12*((Inputs!$B$15*(Inputs!$B$12*A97*1000/(Inputs!$B$22^2))^Inputs!$B$16*Inputs!$B$22/Inputs!$B$12))^2/(2*PI())))))</f>
        <v>7.2708131198290289</v>
      </c>
      <c r="E97" s="9">
        <f>DEGREES(ATAN((Inputs!$B$13*TANH(Inputs!$B$14*(Inputs!$B$12*A97*1000/(Inputs!$B$23^2)))*Inputs!$B$23^2/Inputs!$B$12)/((Inputs!$B$12*((Inputs!$B$15*(Inputs!$B$12*A97*1000/(Inputs!$B$23^2))^Inputs!$B$16*Inputs!$B$23/Inputs!$B$12))^2/(2*PI())))))</f>
        <v>9.7480432493755558</v>
      </c>
    </row>
    <row r="98" spans="1:5" x14ac:dyDescent="0.25">
      <c r="A98" s="4">
        <v>97</v>
      </c>
      <c r="B98" s="9">
        <f>DEGREES(ATAN((Inputs!$B$13*TANH(Inputs!$B$14*(Inputs!$B$12*A98*1000/(Inputs!$B$20^2)))*Inputs!$B$20^2/Inputs!$B$12)/((Inputs!$B$12*((Inputs!$B$15*(Inputs!$B$12*A98*1000/(Inputs!$B$20^2))^Inputs!$B$16*Inputs!$B$20/Inputs!$B$12))^2/(2*PI())))))</f>
        <v>2.8786158554472148</v>
      </c>
      <c r="C98" s="9">
        <f>DEGREES(ATAN((Inputs!$B$13*TANH(Inputs!$B$14*(Inputs!$B$12*A98*1000/(Inputs!$B$21^2)))*Inputs!$B$21^2/Inputs!$B$12)/((Inputs!$B$12*((Inputs!$B$15*(Inputs!$B$12*A98*1000/(Inputs!$B$21^2))^Inputs!$B$16*Inputs!$B$21/Inputs!$B$12))^2/(2*PI())))))</f>
        <v>4.9347139162021607</v>
      </c>
      <c r="D98" s="9">
        <f>DEGREES(ATAN((Inputs!$B$13*TANH(Inputs!$B$14*(Inputs!$B$12*A98*1000/(Inputs!$B$22^2)))*Inputs!$B$22^2/Inputs!$B$12)/((Inputs!$B$12*((Inputs!$B$15*(Inputs!$B$12*A98*1000/(Inputs!$B$22^2))^Inputs!$B$16*Inputs!$B$22/Inputs!$B$12))^2/(2*PI())))))</f>
        <v>7.2212858621872398</v>
      </c>
      <c r="E98" s="9">
        <f>DEGREES(ATAN((Inputs!$B$13*TANH(Inputs!$B$14*(Inputs!$B$12*A98*1000/(Inputs!$B$23^2)))*Inputs!$B$23^2/Inputs!$B$12)/((Inputs!$B$12*((Inputs!$B$15*(Inputs!$B$12*A98*1000/(Inputs!$B$23^2))^Inputs!$B$16*Inputs!$B$23/Inputs!$B$12))^2/(2*PI())))))</f>
        <v>9.6822053962402759</v>
      </c>
    </row>
    <row r="99" spans="1:5" x14ac:dyDescent="0.25">
      <c r="A99" s="4">
        <v>98</v>
      </c>
      <c r="B99" s="9">
        <f>DEGREES(ATAN((Inputs!$B$13*TANH(Inputs!$B$14*(Inputs!$B$12*A99*1000/(Inputs!$B$20^2)))*Inputs!$B$20^2/Inputs!$B$12)/((Inputs!$B$12*((Inputs!$B$15*(Inputs!$B$12*A99*1000/(Inputs!$B$20^2))^Inputs!$B$16*Inputs!$B$20/Inputs!$B$12))^2/(2*PI())))))</f>
        <v>2.8590326362990464</v>
      </c>
      <c r="C99" s="9">
        <f>DEGREES(ATAN((Inputs!$B$13*TANH(Inputs!$B$14*(Inputs!$B$12*A99*1000/(Inputs!$B$21^2)))*Inputs!$B$21^2/Inputs!$B$12)/((Inputs!$B$12*((Inputs!$B$15*(Inputs!$B$12*A99*1000/(Inputs!$B$21^2))^Inputs!$B$16*Inputs!$B$21/Inputs!$B$12))^2/(2*PI())))))</f>
        <v>4.9012514451362241</v>
      </c>
      <c r="D99" s="9">
        <f>DEGREES(ATAN((Inputs!$B$13*TANH(Inputs!$B$14*(Inputs!$B$12*A99*1000/(Inputs!$B$22^2)))*Inputs!$B$22^2/Inputs!$B$12)/((Inputs!$B$12*((Inputs!$B$15*(Inputs!$B$12*A99*1000/(Inputs!$B$22^2))^Inputs!$B$16*Inputs!$B$22/Inputs!$B$12))^2/(2*PI())))))</f>
        <v>7.1725917701585695</v>
      </c>
      <c r="E99" s="9">
        <f>DEGREES(ATAN((Inputs!$B$13*TANH(Inputs!$B$14*(Inputs!$B$12*A99*1000/(Inputs!$B$23^2)))*Inputs!$B$23^2/Inputs!$B$12)/((Inputs!$B$12*((Inputs!$B$15*(Inputs!$B$12*A99*1000/(Inputs!$B$23^2))^Inputs!$B$16*Inputs!$B$23/Inputs!$B$12))^2/(2*PI())))))</f>
        <v>9.617463980914291</v>
      </c>
    </row>
    <row r="100" spans="1:5" x14ac:dyDescent="0.25">
      <c r="A100" s="4">
        <v>99</v>
      </c>
      <c r="B100" s="9">
        <f>DEGREES(ATAN((Inputs!$B$13*TANH(Inputs!$B$14*(Inputs!$B$12*A100*1000/(Inputs!$B$20^2)))*Inputs!$B$20^2/Inputs!$B$12)/((Inputs!$B$12*((Inputs!$B$15*(Inputs!$B$12*A100*1000/(Inputs!$B$20^2))^Inputs!$B$16*Inputs!$B$20/Inputs!$B$12))^2/(2*PI())))))</f>
        <v>2.8397790076806895</v>
      </c>
      <c r="C100" s="9">
        <f>DEGREES(ATAN((Inputs!$B$13*TANH(Inputs!$B$14*(Inputs!$B$12*A100*1000/(Inputs!$B$21^2)))*Inputs!$B$21^2/Inputs!$B$12)/((Inputs!$B$12*((Inputs!$B$15*(Inputs!$B$12*A100*1000/(Inputs!$B$21^2))^Inputs!$B$16*Inputs!$B$21/Inputs!$B$12))^2/(2*PI())))))</f>
        <v>4.8683500017633303</v>
      </c>
      <c r="D100" s="9">
        <f>DEGREES(ATAN((Inputs!$B$13*TANH(Inputs!$B$14*(Inputs!$B$12*A100*1000/(Inputs!$B$22^2)))*Inputs!$B$22^2/Inputs!$B$12)/((Inputs!$B$12*((Inputs!$B$15*(Inputs!$B$12*A100*1000/(Inputs!$B$22^2))^Inputs!$B$16*Inputs!$B$22/Inputs!$B$12))^2/(2*PI())))))</f>
        <v>7.1247086763787335</v>
      </c>
      <c r="E100" s="9">
        <f>DEGREES(ATAN((Inputs!$B$13*TANH(Inputs!$B$14*(Inputs!$B$12*A100*1000/(Inputs!$B$23^2)))*Inputs!$B$23^2/Inputs!$B$12)/((Inputs!$B$12*((Inputs!$B$15*(Inputs!$B$12*A100*1000/(Inputs!$B$23^2))^Inputs!$B$16*Inputs!$B$23/Inputs!$B$12))^2/(2*PI())))))</f>
        <v>9.5537901560320471</v>
      </c>
    </row>
    <row r="101" spans="1:5" x14ac:dyDescent="0.25">
      <c r="A101" s="4">
        <v>100</v>
      </c>
      <c r="B101" s="9">
        <f>DEGREES(ATAN((Inputs!$B$13*TANH(Inputs!$B$14*(Inputs!$B$12*A101*1000/(Inputs!$B$20^2)))*Inputs!$B$20^2/Inputs!$B$12)/((Inputs!$B$12*((Inputs!$B$15*(Inputs!$B$12*A101*1000/(Inputs!$B$20^2))^Inputs!$B$16*Inputs!$B$20/Inputs!$B$12))^2/(2*PI())))))</f>
        <v>2.8208461850629671</v>
      </c>
      <c r="C101" s="9">
        <f>DEGREES(ATAN((Inputs!$B$13*TANH(Inputs!$B$14*(Inputs!$B$12*A101*1000/(Inputs!$B$21^2)))*Inputs!$B$21^2/Inputs!$B$12)/((Inputs!$B$12*((Inputs!$B$15*(Inputs!$B$12*A101*1000/(Inputs!$B$21^2))^Inputs!$B$16*Inputs!$B$21/Inputs!$B$12))^2/(2*PI())))))</f>
        <v>4.8359946966520448</v>
      </c>
      <c r="D101" s="9">
        <f>DEGREES(ATAN((Inputs!$B$13*TANH(Inputs!$B$14*(Inputs!$B$12*A101*1000/(Inputs!$B$22^2)))*Inputs!$B$22^2/Inputs!$B$12)/((Inputs!$B$12*((Inputs!$B$15*(Inputs!$B$12*A101*1000/(Inputs!$B$22^2))^Inputs!$B$16*Inputs!$B$22/Inputs!$B$12))^2/(2*PI())))))</f>
        <v>7.0776152154465048</v>
      </c>
      <c r="E101" s="9">
        <f>DEGREES(ATAN((Inputs!$B$13*TANH(Inputs!$B$14*(Inputs!$B$12*A101*1000/(Inputs!$B$23^2)))*Inputs!$B$23^2/Inputs!$B$12)/((Inputs!$B$12*((Inputs!$B$15*(Inputs!$B$12*A101*1000/(Inputs!$B$23^2))^Inputs!$B$16*Inputs!$B$23/Inputs!$B$12))^2/(2*PI())))))</f>
        <v>9.4911561053501927</v>
      </c>
    </row>
    <row r="102" spans="1:5" x14ac:dyDescent="0.25">
      <c r="A102" s="4">
        <v>101</v>
      </c>
      <c r="B102" s="9">
        <f>DEGREES(ATAN((Inputs!$B$13*TANH(Inputs!$B$14*(Inputs!$B$12*A102*1000/(Inputs!$B$20^2)))*Inputs!$B$20^2/Inputs!$B$12)/((Inputs!$B$12*((Inputs!$B$15*(Inputs!$B$12*A102*1000/(Inputs!$B$20^2))^Inputs!$B$16*Inputs!$B$20/Inputs!$B$12))^2/(2*PI())))))</f>
        <v>2.8022257026026356</v>
      </c>
      <c r="C102" s="9">
        <f>DEGREES(ATAN((Inputs!$B$13*TANH(Inputs!$B$14*(Inputs!$B$12*A102*1000/(Inputs!$B$21^2)))*Inputs!$B$21^2/Inputs!$B$12)/((Inputs!$B$12*((Inputs!$B$15*(Inputs!$B$12*A102*1000/(Inputs!$B$21^2))^Inputs!$B$16*Inputs!$B$21/Inputs!$B$12))^2/(2*PI())))))</f>
        <v>4.8041711780560306</v>
      </c>
      <c r="D102" s="9">
        <f>DEGREES(ATAN((Inputs!$B$13*TANH(Inputs!$B$14*(Inputs!$B$12*A102*1000/(Inputs!$B$22^2)))*Inputs!$B$22^2/Inputs!$B$12)/((Inputs!$B$12*((Inputs!$B$15*(Inputs!$B$12*A102*1000/(Inputs!$B$22^2))^Inputs!$B$16*Inputs!$B$22/Inputs!$B$12))^2/(2*PI())))))</f>
        <v>7.0312907873965402</v>
      </c>
      <c r="E102" s="9">
        <f>DEGREES(ATAN((Inputs!$B$13*TANH(Inputs!$B$14*(Inputs!$B$12*A102*1000/(Inputs!$B$23^2)))*Inputs!$B$23^2/Inputs!$B$12)/((Inputs!$B$12*((Inputs!$B$15*(Inputs!$B$12*A102*1000/(Inputs!$B$23^2))^Inputs!$B$16*Inputs!$B$23/Inputs!$B$12))^2/(2*PI())))))</f>
        <v>9.4295349973785392</v>
      </c>
    </row>
    <row r="103" spans="1:5" x14ac:dyDescent="0.25">
      <c r="A103" s="4">
        <v>102</v>
      </c>
      <c r="B103" s="9">
        <f>DEGREES(ATAN((Inputs!$B$13*TANH(Inputs!$B$14*(Inputs!$B$12*A103*1000/(Inputs!$B$20^2)))*Inputs!$B$20^2/Inputs!$B$12)/((Inputs!$B$12*((Inputs!$B$15*(Inputs!$B$12*A103*1000/(Inputs!$B$20^2))^Inputs!$B$16*Inputs!$B$20/Inputs!$B$12))^2/(2*PI())))))</f>
        <v>2.7839093985744796</v>
      </c>
      <c r="C103" s="9">
        <f>DEGREES(ATAN((Inputs!$B$13*TANH(Inputs!$B$14*(Inputs!$B$12*A103*1000/(Inputs!$B$21^2)))*Inputs!$B$21^2/Inputs!$B$12)/((Inputs!$B$12*((Inputs!$B$15*(Inputs!$B$12*A103*1000/(Inputs!$B$21^2))^Inputs!$B$16*Inputs!$B$21/Inputs!$B$12))^2/(2*PI())))))</f>
        <v>4.7728656074544729</v>
      </c>
      <c r="D103" s="9">
        <f>DEGREES(ATAN((Inputs!$B$13*TANH(Inputs!$B$14*(Inputs!$B$12*A103*1000/(Inputs!$B$22^2)))*Inputs!$B$22^2/Inputs!$B$12)/((Inputs!$B$12*((Inputs!$B$15*(Inputs!$B$12*A103*1000/(Inputs!$B$22^2))^Inputs!$B$16*Inputs!$B$22/Inputs!$B$12))^2/(2*PI())))))</f>
        <v>6.9857155231711383</v>
      </c>
      <c r="E103" s="9">
        <f>DEGREES(ATAN((Inputs!$B$13*TANH(Inputs!$B$14*(Inputs!$B$12*A103*1000/(Inputs!$B$23^2)))*Inputs!$B$23^2/Inputs!$B$12)/((Inputs!$B$12*((Inputs!$B$15*(Inputs!$B$12*A103*1000/(Inputs!$B$23^2))^Inputs!$B$16*Inputs!$B$23/Inputs!$B$12))^2/(2*PI())))))</f>
        <v>9.3689009415149052</v>
      </c>
    </row>
    <row r="104" spans="1:5" x14ac:dyDescent="0.25">
      <c r="A104" s="4">
        <v>103</v>
      </c>
      <c r="B104" s="9">
        <f>DEGREES(ATAN((Inputs!$B$13*TANH(Inputs!$B$14*(Inputs!$B$12*A104*1000/(Inputs!$B$20^2)))*Inputs!$B$20^2/Inputs!$B$12)/((Inputs!$B$12*((Inputs!$B$15*(Inputs!$B$12*A104*1000/(Inputs!$B$20^2))^Inputs!$B$16*Inputs!$B$20/Inputs!$B$12))^2/(2*PI())))))</f>
        <v>2.765889401604082</v>
      </c>
      <c r="C104" s="9">
        <f>DEGREES(ATAN((Inputs!$B$13*TANH(Inputs!$B$14*(Inputs!$B$12*A104*1000/(Inputs!$B$21^2)))*Inputs!$B$21^2/Inputs!$B$12)/((Inputs!$B$12*((Inputs!$B$15*(Inputs!$B$12*A104*1000/(Inputs!$B$21^2))^Inputs!$B$16*Inputs!$B$21/Inputs!$B$12))^2/(2*PI())))))</f>
        <v>4.7420646364299213</v>
      </c>
      <c r="D104" s="9">
        <f>DEGREES(ATAN((Inputs!$B$13*TANH(Inputs!$B$14*(Inputs!$B$12*A104*1000/(Inputs!$B$22^2)))*Inputs!$B$22^2/Inputs!$B$12)/((Inputs!$B$12*((Inputs!$B$15*(Inputs!$B$12*A104*1000/(Inputs!$B$22^2))^Inputs!$B$16*Inputs!$B$22/Inputs!$B$12))^2/(2*PI())))))</f>
        <v>6.9408702519634922</v>
      </c>
      <c r="E104" s="9">
        <f>DEGREES(ATAN((Inputs!$B$13*TANH(Inputs!$B$14*(Inputs!$B$12*A104*1000/(Inputs!$B$23^2)))*Inputs!$B$23^2/Inputs!$B$12)/((Inputs!$B$12*((Inputs!$B$15*(Inputs!$B$12*A104*1000/(Inputs!$B$23^2))^Inputs!$B$16*Inputs!$B$23/Inputs!$B$12))^2/(2*PI())))))</f>
        <v>9.3092289465263125</v>
      </c>
    </row>
    <row r="105" spans="1:5" x14ac:dyDescent="0.25">
      <c r="A105" s="4">
        <v>104</v>
      </c>
      <c r="B105" s="9">
        <f>DEGREES(ATAN((Inputs!$B$13*TANH(Inputs!$B$14*(Inputs!$B$12*A105*1000/(Inputs!$B$20^2)))*Inputs!$B$20^2/Inputs!$B$12)/((Inputs!$B$12*((Inputs!$B$15*(Inputs!$B$12*A105*1000/(Inputs!$B$20^2))^Inputs!$B$16*Inputs!$B$20/Inputs!$B$12))^2/(2*PI())))))</f>
        <v>2.7481581176500147</v>
      </c>
      <c r="C105" s="9">
        <f>DEGREES(ATAN((Inputs!$B$13*TANH(Inputs!$B$14*(Inputs!$B$12*A105*1000/(Inputs!$B$21^2)))*Inputs!$B$21^2/Inputs!$B$12)/((Inputs!$B$12*((Inputs!$B$15*(Inputs!$B$12*A105*1000/(Inputs!$B$21^2))^Inputs!$B$16*Inputs!$B$21/Inputs!$B$12))^2/(2*PI())))))</f>
        <v>4.7117553847985549</v>
      </c>
      <c r="D105" s="9">
        <f>DEGREES(ATAN((Inputs!$B$13*TANH(Inputs!$B$14*(Inputs!$B$12*A105*1000/(Inputs!$B$22^2)))*Inputs!$B$22^2/Inputs!$B$12)/((Inputs!$B$12*((Inputs!$B$15*(Inputs!$B$12*A105*1000/(Inputs!$B$22^2))^Inputs!$B$16*Inputs!$B$22/Inputs!$B$12))^2/(2*PI())))))</f>
        <v>6.8967364703144076</v>
      </c>
      <c r="E105" s="9">
        <f>DEGREES(ATAN((Inputs!$B$13*TANH(Inputs!$B$14*(Inputs!$B$12*A105*1000/(Inputs!$B$23^2)))*Inputs!$B$23^2/Inputs!$B$12)/((Inputs!$B$12*((Inputs!$B$15*(Inputs!$B$12*A105*1000/(Inputs!$B$23^2))^Inputs!$B$16*Inputs!$B$23/Inputs!$B$12))^2/(2*PI())))))</f>
        <v>9.2504948812305905</v>
      </c>
    </row>
    <row r="106" spans="1:5" x14ac:dyDescent="0.25">
      <c r="A106" s="4">
        <v>105</v>
      </c>
      <c r="B106" s="9">
        <f>DEGREES(ATAN((Inputs!$B$13*TANH(Inputs!$B$14*(Inputs!$B$12*A106*1000/(Inputs!$B$20^2)))*Inputs!$B$20^2/Inputs!$B$12)/((Inputs!$B$12*((Inputs!$B$15*(Inputs!$B$12*A106*1000/(Inputs!$B$20^2))^Inputs!$B$16*Inputs!$B$20/Inputs!$B$12))^2/(2*PI())))))</f>
        <v>2.7307082176878903</v>
      </c>
      <c r="C106" s="9">
        <f>DEGREES(ATAN((Inputs!$B$13*TANH(Inputs!$B$14*(Inputs!$B$12*A106*1000/(Inputs!$B$21^2)))*Inputs!$B$21^2/Inputs!$B$12)/((Inputs!$B$12*((Inputs!$B$15*(Inputs!$B$12*A106*1000/(Inputs!$B$21^2))^Inputs!$B$16*Inputs!$B$21/Inputs!$B$12))^2/(2*PI())))))</f>
        <v>4.681925419913691</v>
      </c>
      <c r="D106" s="9">
        <f>DEGREES(ATAN((Inputs!$B$13*TANH(Inputs!$B$14*(Inputs!$B$12*A106*1000/(Inputs!$B$22^2)))*Inputs!$B$22^2/Inputs!$B$12)/((Inputs!$B$12*((Inputs!$B$15*(Inputs!$B$12*A106*1000/(Inputs!$B$22^2))^Inputs!$B$16*Inputs!$B$22/Inputs!$B$12))^2/(2*PI())))))</f>
        <v>6.8532963128527351</v>
      </c>
      <c r="E106" s="9">
        <f>DEGREES(ATAN((Inputs!$B$13*TANH(Inputs!$B$14*(Inputs!$B$12*A106*1000/(Inputs!$B$23^2)))*Inputs!$B$23^2/Inputs!$B$12)/((Inputs!$B$12*((Inputs!$B$15*(Inputs!$B$12*A106*1000/(Inputs!$B$23^2))^Inputs!$B$16*Inputs!$B$23/Inputs!$B$12))^2/(2*PI())))))</f>
        <v>9.1926754372427091</v>
      </c>
    </row>
    <row r="107" spans="1:5" x14ac:dyDescent="0.25">
      <c r="A107" s="4">
        <v>106</v>
      </c>
      <c r="B107" s="9">
        <f>DEGREES(ATAN((Inputs!$B$13*TANH(Inputs!$B$14*(Inputs!$B$12*A107*1000/(Inputs!$B$20^2)))*Inputs!$B$20^2/Inputs!$B$12)/((Inputs!$B$12*((Inputs!$B$15*(Inputs!$B$12*A107*1000/(Inputs!$B$20^2))^Inputs!$B$16*Inputs!$B$20/Inputs!$B$12))^2/(2*PI())))))</f>
        <v>2.7135326260522352</v>
      </c>
      <c r="C107" s="9">
        <f>DEGREES(ATAN((Inputs!$B$13*TANH(Inputs!$B$14*(Inputs!$B$12*A107*1000/(Inputs!$B$21^2)))*Inputs!$B$21^2/Inputs!$B$12)/((Inputs!$B$12*((Inputs!$B$15*(Inputs!$B$12*A107*1000/(Inputs!$B$21^2))^Inputs!$B$16*Inputs!$B$21/Inputs!$B$12))^2/(2*PI())))))</f>
        <v>4.6525627370692817</v>
      </c>
      <c r="D107" s="9">
        <f>DEGREES(ATAN((Inputs!$B$13*TANH(Inputs!$B$14*(Inputs!$B$12*A107*1000/(Inputs!$B$22^2)))*Inputs!$B$22^2/Inputs!$B$12)/((Inputs!$B$12*((Inputs!$B$15*(Inputs!$B$12*A107*1000/(Inputs!$B$22^2))^Inputs!$B$16*Inputs!$B$22/Inputs!$B$12))^2/(2*PI())))))</f>
        <v>6.8105325245777966</v>
      </c>
      <c r="E107" s="9">
        <f>DEGREES(ATAN((Inputs!$B$13*TANH(Inputs!$B$14*(Inputs!$B$12*A107*1000/(Inputs!$B$23^2)))*Inputs!$B$23^2/Inputs!$B$12)/((Inputs!$B$12*((Inputs!$B$15*(Inputs!$B$12*A107*1000/(Inputs!$B$23^2))^Inputs!$B$16*Inputs!$B$23/Inputs!$B$12))^2/(2*PI())))))</f>
        <v>9.1357480936594317</v>
      </c>
    </row>
    <row r="108" spans="1:5" x14ac:dyDescent="0.25">
      <c r="A108" s="4">
        <v>107</v>
      </c>
      <c r="B108" s="9">
        <f>DEGREES(ATAN((Inputs!$B$13*TANH(Inputs!$B$14*(Inputs!$B$12*A108*1000/(Inputs!$B$20^2)))*Inputs!$B$20^2/Inputs!$B$12)/((Inputs!$B$12*((Inputs!$B$15*(Inputs!$B$12*A108*1000/(Inputs!$B$20^2))^Inputs!$B$16*Inputs!$B$20/Inputs!$B$12))^2/(2*PI())))))</f>
        <v>2.6966245093951446</v>
      </c>
      <c r="C108" s="9">
        <f>DEGREES(ATAN((Inputs!$B$13*TANH(Inputs!$B$14*(Inputs!$B$12*A108*1000/(Inputs!$B$21^2)))*Inputs!$B$21^2/Inputs!$B$12)/((Inputs!$B$12*((Inputs!$B$15*(Inputs!$B$12*A108*1000/(Inputs!$B$21^2))^Inputs!$B$16*Inputs!$B$21/Inputs!$B$12))^2/(2*PI())))))</f>
        <v>4.6236557409353116</v>
      </c>
      <c r="D108" s="9">
        <f>DEGREES(ATAN((Inputs!$B$13*TANH(Inputs!$B$14*(Inputs!$B$12*A108*1000/(Inputs!$B$22^2)))*Inputs!$B$22^2/Inputs!$B$12)/((Inputs!$B$12*((Inputs!$B$15*(Inputs!$B$12*A108*1000/(Inputs!$B$22^2))^Inputs!$B$16*Inputs!$B$22/Inputs!$B$12))^2/(2*PI())))))</f>
        <v>6.768428434589107</v>
      </c>
      <c r="E108" s="9">
        <f>DEGREES(ATAN((Inputs!$B$13*TANH(Inputs!$B$14*(Inputs!$B$12*A108*1000/(Inputs!$B$23^2)))*Inputs!$B$23^2/Inputs!$B$12)/((Inputs!$B$12*((Inputs!$B$15*(Inputs!$B$12*A108*1000/(Inputs!$B$23^2))^Inputs!$B$16*Inputs!$B$23/Inputs!$B$12))^2/(2*PI())))))</f>
        <v>9.0796910835650859</v>
      </c>
    </row>
    <row r="109" spans="1:5" x14ac:dyDescent="0.25">
      <c r="A109" s="4">
        <v>108</v>
      </c>
      <c r="B109" s="9">
        <f>DEGREES(ATAN((Inputs!$B$13*TANH(Inputs!$B$14*(Inputs!$B$12*A109*1000/(Inputs!$B$20^2)))*Inputs!$B$20^2/Inputs!$B$12)/((Inputs!$B$12*((Inputs!$B$15*(Inputs!$B$12*A109*1000/(Inputs!$B$20^2))^Inputs!$B$16*Inputs!$B$20/Inputs!$B$12))^2/(2*PI())))))</f>
        <v>2.6799772662238017</v>
      </c>
      <c r="C109" s="9">
        <f>DEGREES(ATAN((Inputs!$B$13*TANH(Inputs!$B$14*(Inputs!$B$12*A109*1000/(Inputs!$B$21^2)))*Inputs!$B$21^2/Inputs!$B$12)/((Inputs!$B$12*((Inputs!$B$15*(Inputs!$B$12*A109*1000/(Inputs!$B$21^2))^Inputs!$B$16*Inputs!$B$21/Inputs!$B$12))^2/(2*PI())))))</f>
        <v>4.5951932279616923</v>
      </c>
      <c r="D109" s="9">
        <f>DEGREES(ATAN((Inputs!$B$13*TANH(Inputs!$B$14*(Inputs!$B$12*A109*1000/(Inputs!$B$22^2)))*Inputs!$B$22^2/Inputs!$B$12)/((Inputs!$B$12*((Inputs!$B$15*(Inputs!$B$12*A109*1000/(Inputs!$B$22^2))^Inputs!$B$16*Inputs!$B$22/Inputs!$B$12))^2/(2*PI())))))</f>
        <v>6.7269679311753583</v>
      </c>
      <c r="E109" s="9">
        <f>DEGREES(ATAN((Inputs!$B$13*TANH(Inputs!$B$14*(Inputs!$B$12*A109*1000/(Inputs!$B$23^2)))*Inputs!$B$23^2/Inputs!$B$12)/((Inputs!$B$12*((Inputs!$B$15*(Inputs!$B$12*A109*1000/(Inputs!$B$23^2))^Inputs!$B$16*Inputs!$B$23/Inputs!$B$12))^2/(2*PI())))))</f>
        <v>9.0244833622490166</v>
      </c>
    </row>
    <row r="110" spans="1:5" x14ac:dyDescent="0.25">
      <c r="A110" s="4">
        <v>109</v>
      </c>
      <c r="B110" s="9">
        <f>DEGREES(ATAN((Inputs!$B$13*TANH(Inputs!$B$14*(Inputs!$B$12*A110*1000/(Inputs!$B$20^2)))*Inputs!$B$20^2/Inputs!$B$12)/((Inputs!$B$12*((Inputs!$B$15*(Inputs!$B$12*A110*1000/(Inputs!$B$20^2))^Inputs!$B$16*Inputs!$B$20/Inputs!$B$12))^2/(2*PI())))))</f>
        <v>2.6635845169814059</v>
      </c>
      <c r="C110" s="9">
        <f>DEGREES(ATAN((Inputs!$B$13*TANH(Inputs!$B$14*(Inputs!$B$12*A110*1000/(Inputs!$B$21^2)))*Inputs!$B$21^2/Inputs!$B$12)/((Inputs!$B$12*((Inputs!$B$15*(Inputs!$B$12*A110*1000/(Inputs!$B$21^2))^Inputs!$B$16*Inputs!$B$21/Inputs!$B$12))^2/(2*PI())))))</f>
        <v>4.5671643696918558</v>
      </c>
      <c r="D110" s="9">
        <f>DEGREES(ATAN((Inputs!$B$13*TANH(Inputs!$B$14*(Inputs!$B$12*A110*1000/(Inputs!$B$22^2)))*Inputs!$B$22^2/Inputs!$B$12)/((Inputs!$B$12*((Inputs!$B$15*(Inputs!$B$12*A110*1000/(Inputs!$B$22^2))^Inputs!$B$16*Inputs!$B$22/Inputs!$B$12))^2/(2*PI())))))</f>
        <v>6.6861354381807345</v>
      </c>
      <c r="E110" s="9">
        <f>DEGREES(ATAN((Inputs!$B$13*TANH(Inputs!$B$14*(Inputs!$B$12*A110*1000/(Inputs!$B$23^2)))*Inputs!$B$23^2/Inputs!$B$12)/((Inputs!$B$12*((Inputs!$B$15*(Inputs!$B$12*A110*1000/(Inputs!$B$23^2))^Inputs!$B$16*Inputs!$B$23/Inputs!$B$12))^2/(2*PI())))))</f>
        <v>8.9701045770328456</v>
      </c>
    </row>
    <row r="111" spans="1:5" x14ac:dyDescent="0.25">
      <c r="A111" s="4">
        <v>110</v>
      </c>
      <c r="B111" s="9">
        <f>DEGREES(ATAN((Inputs!$B$13*TANH(Inputs!$B$14*(Inputs!$B$12*A111*1000/(Inputs!$B$20^2)))*Inputs!$B$20^2/Inputs!$B$12)/((Inputs!$B$12*((Inputs!$B$15*(Inputs!$B$12*A111*1000/(Inputs!$B$20^2))^Inputs!$B$16*Inputs!$B$20/Inputs!$B$12))^2/(2*PI())))))</f>
        <v>2.6474400946386347</v>
      </c>
      <c r="C111" s="9">
        <f>DEGREES(ATAN((Inputs!$B$13*TANH(Inputs!$B$14*(Inputs!$B$12*A111*1000/(Inputs!$B$21^2)))*Inputs!$B$21^2/Inputs!$B$12)/((Inputs!$B$12*((Inputs!$B$15*(Inputs!$B$12*A111*1000/(Inputs!$B$21^2))^Inputs!$B$16*Inputs!$B$21/Inputs!$B$12))^2/(2*PI())))))</f>
        <v>4.5395586969312056</v>
      </c>
      <c r="D111" s="9">
        <f>DEGREES(ATAN((Inputs!$B$13*TANH(Inputs!$B$14*(Inputs!$B$12*A111*1000/(Inputs!$B$22^2)))*Inputs!$B$22^2/Inputs!$B$12)/((Inputs!$B$12*((Inputs!$B$15*(Inputs!$B$12*A111*1000/(Inputs!$B$22^2))^Inputs!$B$16*Inputs!$B$22/Inputs!$B$12))^2/(2*PI())))))</f>
        <v>6.6459158925723054</v>
      </c>
      <c r="E111" s="9">
        <f>DEGREES(ATAN((Inputs!$B$13*TANH(Inputs!$B$14*(Inputs!$B$12*A111*1000/(Inputs!$B$23^2)))*Inputs!$B$23^2/Inputs!$B$12)/((Inputs!$B$12*((Inputs!$B$15*(Inputs!$B$12*A111*1000/(Inputs!$B$23^2))^Inputs!$B$16*Inputs!$B$23/Inputs!$B$12))^2/(2*PI())))))</f>
        <v>8.9165350386126452</v>
      </c>
    </row>
    <row r="112" spans="1:5" x14ac:dyDescent="0.25">
      <c r="A112" s="4">
        <v>111</v>
      </c>
      <c r="B112" s="9">
        <f>DEGREES(ATAN((Inputs!$B$13*TANH(Inputs!$B$14*(Inputs!$B$12*A112*1000/(Inputs!$B$20^2)))*Inputs!$B$20^2/Inputs!$B$12)/((Inputs!$B$12*((Inputs!$B$15*(Inputs!$B$12*A112*1000/(Inputs!$B$20^2))^Inputs!$B$16*Inputs!$B$20/Inputs!$B$12))^2/(2*PI())))))</f>
        <v>2.6315380357650366</v>
      </c>
      <c r="C112" s="9">
        <f>DEGREES(ATAN((Inputs!$B$13*TANH(Inputs!$B$14*(Inputs!$B$12*A112*1000/(Inputs!$B$21^2)))*Inputs!$B$21^2/Inputs!$B$12)/((Inputs!$B$12*((Inputs!$B$15*(Inputs!$B$12*A112*1000/(Inputs!$B$21^2))^Inputs!$B$16*Inputs!$B$21/Inputs!$B$12))^2/(2*PI())))))</f>
        <v>4.5123660847193596</v>
      </c>
      <c r="D112" s="9">
        <f>DEGREES(ATAN((Inputs!$B$13*TANH(Inputs!$B$14*(Inputs!$B$12*A112*1000/(Inputs!$B$22^2)))*Inputs!$B$22^2/Inputs!$B$12)/((Inputs!$B$12*((Inputs!$B$15*(Inputs!$B$12*A112*1000/(Inputs!$B$22^2))^Inputs!$B$16*Inputs!$B$22/Inputs!$B$12))^2/(2*PI())))))</f>
        <v>6.6062947231372426</v>
      </c>
      <c r="E112" s="9">
        <f>DEGREES(ATAN((Inputs!$B$13*TANH(Inputs!$B$14*(Inputs!$B$12*A112*1000/(Inputs!$B$23^2)))*Inputs!$B$23^2/Inputs!$B$12)/((Inputs!$B$12*((Inputs!$B$15*(Inputs!$B$12*A112*1000/(Inputs!$B$23^2))^Inputs!$B$16*Inputs!$B$23/Inputs!$B$12))^2/(2*PI())))))</f>
        <v>8.8637556938274304</v>
      </c>
    </row>
    <row r="113" spans="1:5" x14ac:dyDescent="0.25">
      <c r="A113" s="4">
        <v>112</v>
      </c>
      <c r="B113" s="9">
        <f>DEGREES(ATAN((Inputs!$B$13*TANH(Inputs!$B$14*(Inputs!$B$12*A113*1000/(Inputs!$B$20^2)))*Inputs!$B$20^2/Inputs!$B$12)/((Inputs!$B$12*((Inputs!$B$15*(Inputs!$B$12*A113*1000/(Inputs!$B$20^2))^Inputs!$B$16*Inputs!$B$20/Inputs!$B$12))^2/(2*PI())))))</f>
        <v>2.6158725720517557</v>
      </c>
      <c r="C113" s="9">
        <f>DEGREES(ATAN((Inputs!$B$13*TANH(Inputs!$B$14*(Inputs!$B$12*A113*1000/(Inputs!$B$21^2)))*Inputs!$B$21^2/Inputs!$B$12)/((Inputs!$B$12*((Inputs!$B$15*(Inputs!$B$12*A113*1000/(Inputs!$B$21^2))^Inputs!$B$16*Inputs!$B$21/Inputs!$B$12))^2/(2*PI())))))</f>
        <v>4.4855767380586533</v>
      </c>
      <c r="D113" s="9">
        <f>DEGREES(ATAN((Inputs!$B$13*TANH(Inputs!$B$14*(Inputs!$B$12*A113*1000/(Inputs!$B$22^2)))*Inputs!$B$22^2/Inputs!$B$12)/((Inputs!$B$12*((Inputs!$B$15*(Inputs!$B$12*A113*1000/(Inputs!$B$22^2))^Inputs!$B$16*Inputs!$B$22/Inputs!$B$12))^2/(2*PI())))))</f>
        <v>6.567257830243749</v>
      </c>
      <c r="E113" s="9">
        <f>DEGREES(ATAN((Inputs!$B$13*TANH(Inputs!$B$14*(Inputs!$B$12*A113*1000/(Inputs!$B$23^2)))*Inputs!$B$23^2/Inputs!$B$12)/((Inputs!$B$12*((Inputs!$B$15*(Inputs!$B$12*A113*1000/(Inputs!$B$23^2))^Inputs!$B$16*Inputs!$B$23/Inputs!$B$12))^2/(2*PI())))))</f>
        <v>8.8117480997712594</v>
      </c>
    </row>
    <row r="114" spans="1:5" x14ac:dyDescent="0.25">
      <c r="A114" s="4">
        <v>113</v>
      </c>
      <c r="B114" s="9">
        <f>DEGREES(ATAN((Inputs!$B$13*TANH(Inputs!$B$14*(Inputs!$B$12*A114*1000/(Inputs!$B$20^2)))*Inputs!$B$20^2/Inputs!$B$12)/((Inputs!$B$12*((Inputs!$B$15*(Inputs!$B$12*A114*1000/(Inputs!$B$20^2))^Inputs!$B$16*Inputs!$B$20/Inputs!$B$12))^2/(2*PI())))))</f>
        <v>2.6004381222590442</v>
      </c>
      <c r="C114" s="9">
        <f>DEGREES(ATAN((Inputs!$B$13*TANH(Inputs!$B$14*(Inputs!$B$12*A114*1000/(Inputs!$B$21^2)))*Inputs!$B$21^2/Inputs!$B$12)/((Inputs!$B$12*((Inputs!$B$15*(Inputs!$B$12*A114*1000/(Inputs!$B$21^2))^Inputs!$B$16*Inputs!$B$21/Inputs!$B$12))^2/(2*PI())))))</f>
        <v>4.4591811783545099</v>
      </c>
      <c r="D114" s="9">
        <f>DEGREES(ATAN((Inputs!$B$13*TANH(Inputs!$B$14*(Inputs!$B$12*A114*1000/(Inputs!$B$22^2)))*Inputs!$B$22^2/Inputs!$B$12)/((Inputs!$B$12*((Inputs!$B$15*(Inputs!$B$12*A114*1000/(Inputs!$B$22^2))^Inputs!$B$16*Inputs!$B$22/Inputs!$B$12))^2/(2*PI())))))</f>
        <v>6.5287915666036156</v>
      </c>
      <c r="E114" s="9">
        <f>DEGREES(ATAN((Inputs!$B$13*TANH(Inputs!$B$14*(Inputs!$B$12*A114*1000/(Inputs!$B$23^2)))*Inputs!$B$23^2/Inputs!$B$12)/((Inputs!$B$12*((Inputs!$B$15*(Inputs!$B$12*A114*1000/(Inputs!$B$23^2))^Inputs!$B$16*Inputs!$B$23/Inputs!$B$12))^2/(2*PI())))))</f>
        <v>8.7604943991717228</v>
      </c>
    </row>
    <row r="115" spans="1:5" x14ac:dyDescent="0.25">
      <c r="A115" s="4">
        <v>114</v>
      </c>
      <c r="B115" s="9">
        <f>DEGREES(ATAN((Inputs!$B$13*TANH(Inputs!$B$14*(Inputs!$B$12*A115*1000/(Inputs!$B$20^2)))*Inputs!$B$20^2/Inputs!$B$12)/((Inputs!$B$12*((Inputs!$B$15*(Inputs!$B$12*A115*1000/(Inputs!$B$20^2))^Inputs!$B$16*Inputs!$B$20/Inputs!$B$12))^2/(2*PI())))))</f>
        <v>2.5852292845636962</v>
      </c>
      <c r="C115" s="9">
        <f>DEGREES(ATAN((Inputs!$B$13*TANH(Inputs!$B$14*(Inputs!$B$12*A115*1000/(Inputs!$B$21^2)))*Inputs!$B$21^2/Inputs!$B$12)/((Inputs!$B$12*((Inputs!$B$15*(Inputs!$B$12*A115*1000/(Inputs!$B$21^2))^Inputs!$B$16*Inputs!$B$21/Inputs!$B$12))^2/(2*PI())))))</f>
        <v>4.4331702305263043</v>
      </c>
      <c r="D115" s="9">
        <f>DEGREES(ATAN((Inputs!$B$13*TANH(Inputs!$B$14*(Inputs!$B$12*A115*1000/(Inputs!$B$22^2)))*Inputs!$B$22^2/Inputs!$B$12)/((Inputs!$B$12*((Inputs!$B$15*(Inputs!$B$12*A115*1000/(Inputs!$B$22^2))^Inputs!$B$16*Inputs!$B$22/Inputs!$B$12))^2/(2*PI())))))</f>
        <v>6.4908827189787068</v>
      </c>
      <c r="E115" s="9">
        <f>DEGREES(ATAN((Inputs!$B$13*TANH(Inputs!$B$14*(Inputs!$B$12*A115*1000/(Inputs!$B$23^2)))*Inputs!$B$23^2/Inputs!$B$12)/((Inputs!$B$12*((Inputs!$B$15*(Inputs!$B$12*A115*1000/(Inputs!$B$23^2))^Inputs!$B$16*Inputs!$B$23/Inputs!$B$12))^2/(2*PI())))))</f>
        <v>8.7099772969627001</v>
      </c>
    </row>
    <row r="116" spans="1:5" x14ac:dyDescent="0.25">
      <c r="A116" s="4">
        <v>115</v>
      </c>
      <c r="B116" s="9">
        <f>DEGREES(ATAN((Inputs!$B$13*TANH(Inputs!$B$14*(Inputs!$B$12*A116*1000/(Inputs!$B$20^2)))*Inputs!$B$20^2/Inputs!$B$12)/((Inputs!$B$12*((Inputs!$B$15*(Inputs!$B$12*A116*1000/(Inputs!$B$20^2))^Inputs!$B$16*Inputs!$B$20/Inputs!$B$12))^2/(2*PI())))))</f>
        <v>2.5702408292832981</v>
      </c>
      <c r="C116" s="9">
        <f>DEGREES(ATAN((Inputs!$B$13*TANH(Inputs!$B$14*(Inputs!$B$12*A116*1000/(Inputs!$B$21^2)))*Inputs!$B$21^2/Inputs!$B$12)/((Inputs!$B$12*((Inputs!$B$15*(Inputs!$B$12*A116*1000/(Inputs!$B$21^2))^Inputs!$B$16*Inputs!$B$21/Inputs!$B$12))^2/(2*PI())))))</f>
        <v>4.4075350107500508</v>
      </c>
      <c r="D116" s="9">
        <f>DEGREES(ATAN((Inputs!$B$13*TANH(Inputs!$B$14*(Inputs!$B$12*A116*1000/(Inputs!$B$22^2)))*Inputs!$B$22^2/Inputs!$B$12)/((Inputs!$B$12*((Inputs!$B$15*(Inputs!$B$12*A116*1000/(Inputs!$B$22^2))^Inputs!$B$16*Inputs!$B$22/Inputs!$B$12))^2/(2*PI())))))</f>
        <v>6.4535184907774816</v>
      </c>
      <c r="E116" s="9">
        <f>DEGREES(ATAN((Inputs!$B$13*TANH(Inputs!$B$14*(Inputs!$B$12*A116*1000/(Inputs!$B$23^2)))*Inputs!$B$23^2/Inputs!$B$12)/((Inputs!$B$12*((Inputs!$B$15*(Inputs!$B$12*A116*1000/(Inputs!$B$23^2))^Inputs!$B$16*Inputs!$B$23/Inputs!$B$12))^2/(2*PI())))))</f>
        <v>8.6601800379838547</v>
      </c>
    </row>
    <row r="117" spans="1:5" x14ac:dyDescent="0.25">
      <c r="A117" s="4">
        <v>116</v>
      </c>
      <c r="B117" s="9">
        <f>DEGREES(ATAN((Inputs!$B$13*TANH(Inputs!$B$14*(Inputs!$B$12*A117*1000/(Inputs!$B$20^2)))*Inputs!$B$20^2/Inputs!$B$12)/((Inputs!$B$12*((Inputs!$B$15*(Inputs!$B$12*A117*1000/(Inputs!$B$20^2))^Inputs!$B$16*Inputs!$B$20/Inputs!$B$12))^2/(2*PI())))))</f>
        <v>2.555467691955581</v>
      </c>
      <c r="C117" s="9">
        <f>DEGREES(ATAN((Inputs!$B$13*TANH(Inputs!$B$14*(Inputs!$B$12*A117*1000/(Inputs!$B$21^2)))*Inputs!$B$21^2/Inputs!$B$12)/((Inputs!$B$12*((Inputs!$B$15*(Inputs!$B$12*A117*1000/(Inputs!$B$21^2))^Inputs!$B$16*Inputs!$B$21/Inputs!$B$12))^2/(2*PI())))))</f>
        <v>4.382266914796781</v>
      </c>
      <c r="D117" s="9">
        <f>DEGREES(ATAN((Inputs!$B$13*TANH(Inputs!$B$14*(Inputs!$B$12*A117*1000/(Inputs!$B$22^2)))*Inputs!$B$22^2/Inputs!$B$12)/((Inputs!$B$12*((Inputs!$B$15*(Inputs!$B$12*A117*1000/(Inputs!$B$22^2))^Inputs!$B$16*Inputs!$B$22/Inputs!$B$12))^2/(2*PI())))))</f>
        <v>6.4166864854908487</v>
      </c>
      <c r="E117" s="9">
        <f>DEGREES(ATAN((Inputs!$B$13*TANH(Inputs!$B$14*(Inputs!$B$12*A117*1000/(Inputs!$B$23^2)))*Inputs!$B$23^2/Inputs!$B$12)/((Inputs!$B$12*((Inputs!$B$15*(Inputs!$B$12*A117*1000/(Inputs!$B$23^2))^Inputs!$B$16*Inputs!$B$23/Inputs!$B$12))^2/(2*PI())))))</f>
        <v>8.6110863857437483</v>
      </c>
    </row>
    <row r="118" spans="1:5" x14ac:dyDescent="0.25">
      <c r="A118" s="4">
        <v>117</v>
      </c>
      <c r="B118" s="9">
        <f>DEGREES(ATAN((Inputs!$B$13*TANH(Inputs!$B$14*(Inputs!$B$12*A118*1000/(Inputs!$B$20^2)))*Inputs!$B$20^2/Inputs!$B$12)/((Inputs!$B$12*((Inputs!$B$15*(Inputs!$B$12*A118*1000/(Inputs!$B$20^2))^Inputs!$B$16*Inputs!$B$20/Inputs!$B$12))^2/(2*PI())))))</f>
        <v>2.5409049667527346</v>
      </c>
      <c r="C118" s="9">
        <f>DEGREES(ATAN((Inputs!$B$13*TANH(Inputs!$B$14*(Inputs!$B$12*A118*1000/(Inputs!$B$21^2)))*Inputs!$B$21^2/Inputs!$B$12)/((Inputs!$B$12*((Inputs!$B$15*(Inputs!$B$12*A118*1000/(Inputs!$B$21^2))^Inputs!$B$16*Inputs!$B$21/Inputs!$B$12))^2/(2*PI())))))</f>
        <v>4.3573576069329052</v>
      </c>
      <c r="D118" s="9">
        <f>DEGREES(ATAN((Inputs!$B$13*TANH(Inputs!$B$14*(Inputs!$B$12*A118*1000/(Inputs!$B$22^2)))*Inputs!$B$22^2/Inputs!$B$12)/((Inputs!$B$12*((Inputs!$B$15*(Inputs!$B$12*A118*1000/(Inputs!$B$22^2))^Inputs!$B$16*Inputs!$B$22/Inputs!$B$12))^2/(2*PI())))))</f>
        <v>6.3803746909204548</v>
      </c>
      <c r="E118" s="9">
        <f>DEGREES(ATAN((Inputs!$B$13*TANH(Inputs!$B$14*(Inputs!$B$12*A118*1000/(Inputs!$B$23^2)))*Inputs!$B$23^2/Inputs!$B$12)/((Inputs!$B$12*((Inputs!$B$15*(Inputs!$B$12*A118*1000/(Inputs!$B$23^2))^Inputs!$B$16*Inputs!$B$23/Inputs!$B$12))^2/(2*PI())))))</f>
        <v>8.5626806021874184</v>
      </c>
    </row>
    <row r="119" spans="1:5" x14ac:dyDescent="0.25">
      <c r="A119" s="4">
        <v>118</v>
      </c>
      <c r="B119" s="9">
        <f>DEGREES(ATAN((Inputs!$B$13*TANH(Inputs!$B$14*(Inputs!$B$12*A119*1000/(Inputs!$B$20^2)))*Inputs!$B$20^2/Inputs!$B$12)/((Inputs!$B$12*((Inputs!$B$15*(Inputs!$B$12*A119*1000/(Inputs!$B$20^2))^Inputs!$B$16*Inputs!$B$20/Inputs!$B$12))^2/(2*PI())))))</f>
        <v>2.5265479002117166</v>
      </c>
      <c r="C119" s="9">
        <f>DEGREES(ATAN((Inputs!$B$13*TANH(Inputs!$B$14*(Inputs!$B$12*A119*1000/(Inputs!$B$21^2)))*Inputs!$B$21^2/Inputs!$B$12)/((Inputs!$B$12*((Inputs!$B$15*(Inputs!$B$12*A119*1000/(Inputs!$B$21^2))^Inputs!$B$16*Inputs!$B$21/Inputs!$B$12))^2/(2*PI())))))</f>
        <v>4.3327990093509108</v>
      </c>
      <c r="D119" s="9">
        <f>DEGREES(ATAN((Inputs!$B$13*TANH(Inputs!$B$14*(Inputs!$B$12*A119*1000/(Inputs!$B$22^2)))*Inputs!$B$22^2/Inputs!$B$12)/((Inputs!$B$12*((Inputs!$B$15*(Inputs!$B$12*A119*1000/(Inputs!$B$22^2))^Inputs!$B$16*Inputs!$B$22/Inputs!$B$12))^2/(2*PI())))))</f>
        <v>6.3445714641549271</v>
      </c>
      <c r="E119" s="9">
        <f>DEGREES(ATAN((Inputs!$B$13*TANH(Inputs!$B$14*(Inputs!$B$12*A119*1000/(Inputs!$B$23^2)))*Inputs!$B$23^2/Inputs!$B$12)/((Inputs!$B$12*((Inputs!$B$15*(Inputs!$B$12*A119*1000/(Inputs!$B$23^2))^Inputs!$B$16*Inputs!$B$23/Inputs!$B$12))^2/(2*PI())))))</f>
        <v>8.5149474284131497</v>
      </c>
    </row>
    <row r="120" spans="1:5" x14ac:dyDescent="0.25">
      <c r="A120" s="4">
        <v>119</v>
      </c>
      <c r="B120" s="9">
        <f>DEGREES(ATAN((Inputs!$B$13*TANH(Inputs!$B$14*(Inputs!$B$12*A120*1000/(Inputs!$B$20^2)))*Inputs!$B$20^2/Inputs!$B$12)/((Inputs!$B$12*((Inputs!$B$15*(Inputs!$B$12*A120*1000/(Inputs!$B$20^2))^Inputs!$B$16*Inputs!$B$20/Inputs!$B$12))^2/(2*PI())))))</f>
        <v>2.5123918852629417</v>
      </c>
      <c r="C120" s="9">
        <f>DEGREES(ATAN((Inputs!$B$13*TANH(Inputs!$B$14*(Inputs!$B$12*A120*1000/(Inputs!$B$21^2)))*Inputs!$B$21^2/Inputs!$B$12)/((Inputs!$B$12*((Inputs!$B$15*(Inputs!$B$12*A120*1000/(Inputs!$B$21^2))^Inputs!$B$16*Inputs!$B$21/Inputs!$B$12))^2/(2*PI())))))</f>
        <v>4.308583292100951</v>
      </c>
      <c r="D120" s="9">
        <f>DEGREES(ATAN((Inputs!$B$13*TANH(Inputs!$B$14*(Inputs!$B$12*A120*1000/(Inputs!$B$22^2)))*Inputs!$B$22^2/Inputs!$B$12)/((Inputs!$B$12*((Inputs!$B$15*(Inputs!$B$12*A120*1000/(Inputs!$B$22^2))^Inputs!$B$16*Inputs!$B$22/Inputs!$B$12))^2/(2*PI())))))</f>
        <v>6.3092655172529444</v>
      </c>
      <c r="E120" s="9">
        <f>DEGREES(ATAN((Inputs!$B$13*TANH(Inputs!$B$14*(Inputs!$B$12*A120*1000/(Inputs!$B$23^2)))*Inputs!$B$23^2/Inputs!$B$12)/((Inputs!$B$12*((Inputs!$B$15*(Inputs!$B$12*A120*1000/(Inputs!$B$23^2))^Inputs!$B$16*Inputs!$B$23/Inputs!$B$12))^2/(2*PI())))))</f>
        <v>8.467872066286434</v>
      </c>
    </row>
    <row r="121" spans="1:5" x14ac:dyDescent="0.25">
      <c r="A121" s="4">
        <v>120</v>
      </c>
      <c r="B121" s="9">
        <f>DEGREES(ATAN((Inputs!$B$13*TANH(Inputs!$B$14*(Inputs!$B$12*A121*1000/(Inputs!$B$20^2)))*Inputs!$B$20^2/Inputs!$B$12)/((Inputs!$B$12*((Inputs!$B$15*(Inputs!$B$12*A121*1000/(Inputs!$B$20^2))^Inputs!$B$16*Inputs!$B$20/Inputs!$B$12))^2/(2*PI())))))</f>
        <v>2.4984324555406658</v>
      </c>
      <c r="C121" s="9">
        <f>DEGREES(ATAN((Inputs!$B$13*TANH(Inputs!$B$14*(Inputs!$B$12*A121*1000/(Inputs!$B$21^2)))*Inputs!$B$21^2/Inputs!$B$12)/((Inputs!$B$12*((Inputs!$B$15*(Inputs!$B$12*A121*1000/(Inputs!$B$21^2))^Inputs!$B$16*Inputs!$B$21/Inputs!$B$12))^2/(2*PI())))))</f>
        <v>4.2847028634954434</v>
      </c>
      <c r="D121" s="9">
        <f>DEGREES(ATAN((Inputs!$B$13*TANH(Inputs!$B$14*(Inputs!$B$12*A121*1000/(Inputs!$B$22^2)))*Inputs!$B$22^2/Inputs!$B$12)/((Inputs!$B$12*((Inputs!$B$15*(Inputs!$B$12*A121*1000/(Inputs!$B$22^2))^Inputs!$B$16*Inputs!$B$22/Inputs!$B$12))^2/(2*PI())))))</f>
        <v>6.2744459035941764</v>
      </c>
      <c r="E121" s="9">
        <f>DEGREES(ATAN((Inputs!$B$13*TANH(Inputs!$B$14*(Inputs!$B$12*A121*1000/(Inputs!$B$23^2)))*Inputs!$B$23^2/Inputs!$B$12)/((Inputs!$B$12*((Inputs!$B$15*(Inputs!$B$12*A121*1000/(Inputs!$B$23^2))^Inputs!$B$16*Inputs!$B$23/Inputs!$B$12))^2/(2*PI())))))</f>
        <v>8.4214401609025504</v>
      </c>
    </row>
    <row r="122" spans="1:5" x14ac:dyDescent="0.25">
      <c r="A122" s="4">
        <v>121</v>
      </c>
      <c r="B122" s="9">
        <f>DEGREES(ATAN((Inputs!$B$13*TANH(Inputs!$B$14*(Inputs!$B$12*A122*1000/(Inputs!$B$20^2)))*Inputs!$B$20^2/Inputs!$B$12)/((Inputs!$B$12*((Inputs!$B$15*(Inputs!$B$12*A122*1000/(Inputs!$B$20^2))^Inputs!$B$16*Inputs!$B$20/Inputs!$B$12))^2/(2*PI())))))</f>
        <v>2.4846652799597115</v>
      </c>
      <c r="C122" s="9">
        <f>DEGREES(ATAN((Inputs!$B$13*TANH(Inputs!$B$14*(Inputs!$B$12*A122*1000/(Inputs!$B$21^2)))*Inputs!$B$21^2/Inputs!$B$12)/((Inputs!$B$12*((Inputs!$B$15*(Inputs!$B$12*A122*1000/(Inputs!$B$21^2))^Inputs!$B$16*Inputs!$B$21/Inputs!$B$12))^2/(2*PI())))))</f>
        <v>4.261150360960996</v>
      </c>
      <c r="D122" s="9">
        <f>DEGREES(ATAN((Inputs!$B$13*TANH(Inputs!$B$14*(Inputs!$B$12*A122*1000/(Inputs!$B$22^2)))*Inputs!$B$22^2/Inputs!$B$12)/((Inputs!$B$12*((Inputs!$B$15*(Inputs!$B$12*A122*1000/(Inputs!$B$22^2))^Inputs!$B$16*Inputs!$B$22/Inputs!$B$12))^2/(2*PI())))))</f>
        <v>6.2401020048619493</v>
      </c>
      <c r="E122" s="9">
        <f>DEGREES(ATAN((Inputs!$B$13*TANH(Inputs!$B$14*(Inputs!$B$12*A122*1000/(Inputs!$B$23^2)))*Inputs!$B$23^2/Inputs!$B$12)/((Inputs!$B$12*((Inputs!$B$15*(Inputs!$B$12*A122*1000/(Inputs!$B$23^2))^Inputs!$B$16*Inputs!$B$23/Inputs!$B$12))^2/(2*PI())))))</f>
        <v>8.3756377838520315</v>
      </c>
    </row>
    <row r="123" spans="1:5" x14ac:dyDescent="0.25">
      <c r="A123" s="4">
        <v>122</v>
      </c>
      <c r="B123" s="9">
        <f>DEGREES(ATAN((Inputs!$B$13*TANH(Inputs!$B$14*(Inputs!$B$12*A123*1000/(Inputs!$B$20^2)))*Inputs!$B$20^2/Inputs!$B$12)/((Inputs!$B$12*((Inputs!$B$15*(Inputs!$B$12*A123*1000/(Inputs!$B$20^2))^Inputs!$B$16*Inputs!$B$20/Inputs!$B$12))^2/(2*PI())))))</f>
        <v>2.471086157543867</v>
      </c>
      <c r="C123" s="9">
        <f>DEGREES(ATAN((Inputs!$B$13*TANH(Inputs!$B$14*(Inputs!$B$12*A123*1000/(Inputs!$B$21^2)))*Inputs!$B$21^2/Inputs!$B$12)/((Inputs!$B$12*((Inputs!$B$15*(Inputs!$B$12*A123*1000/(Inputs!$B$21^2))^Inputs!$B$16*Inputs!$B$21/Inputs!$B$12))^2/(2*PI())))))</f>
        <v>4.2379186423131667</v>
      </c>
      <c r="D123" s="9">
        <f>DEGREES(ATAN((Inputs!$B$13*TANH(Inputs!$B$14*(Inputs!$B$12*A123*1000/(Inputs!$B$22^2)))*Inputs!$B$22^2/Inputs!$B$12)/((Inputs!$B$12*((Inputs!$B$15*(Inputs!$B$12*A123*1000/(Inputs!$B$22^2))^Inputs!$B$16*Inputs!$B$22/Inputs!$B$12))^2/(2*PI())))))</f>
        <v>6.2062235186233057</v>
      </c>
      <c r="E123" s="9">
        <f>DEGREES(ATAN((Inputs!$B$13*TANH(Inputs!$B$14*(Inputs!$B$12*A123*1000/(Inputs!$B$23^2)))*Inputs!$B$23^2/Inputs!$B$12)/((Inputs!$B$12*((Inputs!$B$15*(Inputs!$B$12*A123*1000/(Inputs!$B$23^2))^Inputs!$B$16*Inputs!$B$23/Inputs!$B$12))^2/(2*PI())))))</f>
        <v>8.3304514172462945</v>
      </c>
    </row>
    <row r="124" spans="1:5" x14ac:dyDescent="0.25">
      <c r="A124" s="4">
        <v>123</v>
      </c>
      <c r="B124" s="9">
        <f>DEGREES(ATAN((Inputs!$B$13*TANH(Inputs!$B$14*(Inputs!$B$12*A124*1000/(Inputs!$B$20^2)))*Inputs!$B$20^2/Inputs!$B$12)/((Inputs!$B$12*((Inputs!$B$15*(Inputs!$B$12*A124*1000/(Inputs!$B$20^2))^Inputs!$B$16*Inputs!$B$20/Inputs!$B$12))^2/(2*PI())))))</f>
        <v>2.4576910124923907</v>
      </c>
      <c r="C124" s="9">
        <f>DEGREES(ATAN((Inputs!$B$13*TANH(Inputs!$B$14*(Inputs!$B$12*A124*1000/(Inputs!$B$21^2)))*Inputs!$B$21^2/Inputs!$B$12)/((Inputs!$B$12*((Inputs!$B$15*(Inputs!$B$12*A124*1000/(Inputs!$B$21^2))^Inputs!$B$16*Inputs!$B$21/Inputs!$B$12))^2/(2*PI())))))</f>
        <v>4.2150007774312925</v>
      </c>
      <c r="D124" s="9">
        <f>DEGREES(ATAN((Inputs!$B$13*TANH(Inputs!$B$14*(Inputs!$B$12*A124*1000/(Inputs!$B$22^2)))*Inputs!$B$22^2/Inputs!$B$12)/((Inputs!$B$12*((Inputs!$B$15*(Inputs!$B$12*A124*1000/(Inputs!$B$22^2))^Inputs!$B$16*Inputs!$B$22/Inputs!$B$12))^2/(2*PI())))))</f>
        <v>6.1728004464747528</v>
      </c>
      <c r="E124" s="9">
        <f>DEGREES(ATAN((Inputs!$B$13*TANH(Inputs!$B$14*(Inputs!$B$12*A124*1000/(Inputs!$B$23^2)))*Inputs!$B$23^2/Inputs!$B$12)/((Inputs!$B$12*((Inputs!$B$15*(Inputs!$B$12*A124*1000/(Inputs!$B$23^2))^Inputs!$B$16*Inputs!$B$23/Inputs!$B$12))^2/(2*PI())))))</f>
        <v>8.2858679384629976</v>
      </c>
    </row>
    <row r="125" spans="1:5" x14ac:dyDescent="0.25">
      <c r="A125" s="4">
        <v>124</v>
      </c>
      <c r="B125" s="9">
        <f>DEGREES(ATAN((Inputs!$B$13*TANH(Inputs!$B$14*(Inputs!$B$12*A125*1000/(Inputs!$B$20^2)))*Inputs!$B$20^2/Inputs!$B$12)/((Inputs!$B$12*((Inputs!$B$15*(Inputs!$B$12*A125*1000/(Inputs!$B$20^2))^Inputs!$B$16*Inputs!$B$20/Inputs!$B$12))^2/(2*PI())))))</f>
        <v>2.4444758894718128</v>
      </c>
      <c r="C125" s="9">
        <f>DEGREES(ATAN((Inputs!$B$13*TANH(Inputs!$B$14*(Inputs!$B$12*A125*1000/(Inputs!$B$21^2)))*Inputs!$B$21^2/Inputs!$B$12)/((Inputs!$B$12*((Inputs!$B$15*(Inputs!$B$12*A125*1000/(Inputs!$B$21^2))^Inputs!$B$16*Inputs!$B$21/Inputs!$B$12))^2/(2*PI())))))</f>
        <v>4.1923900403120307</v>
      </c>
      <c r="D125" s="9">
        <f>DEGREES(ATAN((Inputs!$B$13*TANH(Inputs!$B$14*(Inputs!$B$12*A125*1000/(Inputs!$B$22^2)))*Inputs!$B$22^2/Inputs!$B$12)/((Inputs!$B$12*((Inputs!$B$15*(Inputs!$B$12*A125*1000/(Inputs!$B$22^2))^Inputs!$B$16*Inputs!$B$22/Inputs!$B$12))^2/(2*PI())))))</f>
        <v>6.1398230827234048</v>
      </c>
      <c r="E125" s="9">
        <f>DEGREES(ATAN((Inputs!$B$13*TANH(Inputs!$B$14*(Inputs!$B$12*A125*1000/(Inputs!$B$23^2)))*Inputs!$B$23^2/Inputs!$B$12)/((Inputs!$B$12*((Inputs!$B$15*(Inputs!$B$12*A125*1000/(Inputs!$B$23^2))^Inputs!$B$16*Inputs!$B$23/Inputs!$B$12))^2/(2*PI())))))</f>
        <v>8.2418746055735106</v>
      </c>
    </row>
    <row r="126" spans="1:5" x14ac:dyDescent="0.25">
      <c r="A126" s="4">
        <v>125</v>
      </c>
      <c r="B126" s="9">
        <f>DEGREES(ATAN((Inputs!$B$13*TANH(Inputs!$B$14*(Inputs!$B$12*A126*1000/(Inputs!$B$20^2)))*Inputs!$B$20^2/Inputs!$B$12)/((Inputs!$B$12*((Inputs!$B$15*(Inputs!$B$12*A126*1000/(Inputs!$B$20^2))^Inputs!$B$16*Inputs!$B$20/Inputs!$B$12))^2/(2*PI())))))</f>
        <v>2.4314369491210339</v>
      </c>
      <c r="C126" s="9">
        <f>DEGREES(ATAN((Inputs!$B$13*TANH(Inputs!$B$14*(Inputs!$B$12*A126*1000/(Inputs!$B$21^2)))*Inputs!$B$21^2/Inputs!$B$12)/((Inputs!$B$12*((Inputs!$B$15*(Inputs!$B$12*A126*1000/(Inputs!$B$21^2))^Inputs!$B$16*Inputs!$B$21/Inputs!$B$12))^2/(2*PI())))))</f>
        <v>4.1700799014814702</v>
      </c>
      <c r="D126" s="9">
        <f>DEGREES(ATAN((Inputs!$B$13*TANH(Inputs!$B$14*(Inputs!$B$12*A126*1000/(Inputs!$B$22^2)))*Inputs!$B$22^2/Inputs!$B$12)/((Inputs!$B$12*((Inputs!$B$15*(Inputs!$B$12*A126*1000/(Inputs!$B$22^2))^Inputs!$B$16*Inputs!$B$22/Inputs!$B$12))^2/(2*PI())))))</f>
        <v>6.107282003575464</v>
      </c>
      <c r="E126" s="9">
        <f>DEGREES(ATAN((Inputs!$B$13*TANH(Inputs!$B$14*(Inputs!$B$12*A126*1000/(Inputs!$B$23^2)))*Inputs!$B$23^2/Inputs!$B$12)/((Inputs!$B$12*((Inputs!$B$15*(Inputs!$B$12*A126*1000/(Inputs!$B$23^2))^Inputs!$B$16*Inputs!$B$23/Inputs!$B$12))^2/(2*PI())))))</f>
        <v>8.1984590434167934</v>
      </c>
    </row>
    <row r="127" spans="1:5" x14ac:dyDescent="0.25">
      <c r="A127" s="4">
        <v>126</v>
      </c>
      <c r="B127" s="9">
        <f>DEGREES(ATAN((Inputs!$B$13*TANH(Inputs!$B$14*(Inputs!$B$12*A127*1000/(Inputs!$B$20^2)))*Inputs!$B$20^2/Inputs!$B$12)/((Inputs!$B$12*((Inputs!$B$15*(Inputs!$B$12*A127*1000/(Inputs!$B$20^2))^Inputs!$B$16*Inputs!$B$20/Inputs!$B$12))^2/(2*PI())))))</f>
        <v>2.4185704637584515</v>
      </c>
      <c r="C127" s="9">
        <f>DEGREES(ATAN((Inputs!$B$13*TANH(Inputs!$B$14*(Inputs!$B$12*A127*1000/(Inputs!$B$21^2)))*Inputs!$B$21^2/Inputs!$B$12)/((Inputs!$B$12*((Inputs!$B$15*(Inputs!$B$12*A127*1000/(Inputs!$B$21^2))^Inputs!$B$16*Inputs!$B$21/Inputs!$B$12))^2/(2*PI())))))</f>
        <v>4.1480640207469595</v>
      </c>
      <c r="D127" s="9">
        <f>DEGREES(ATAN((Inputs!$B$13*TANH(Inputs!$B$14*(Inputs!$B$12*A127*1000/(Inputs!$B$22^2)))*Inputs!$B$22^2/Inputs!$B$12)/((Inputs!$B$12*((Inputs!$B$15*(Inputs!$B$12*A127*1000/(Inputs!$B$22^2))^Inputs!$B$16*Inputs!$B$22/Inputs!$B$12))^2/(2*PI())))))</f>
        <v>6.0751680568054809</v>
      </c>
      <c r="E127" s="9">
        <f>DEGREES(ATAN((Inputs!$B$13*TANH(Inputs!$B$14*(Inputs!$B$12*A127*1000/(Inputs!$B$23^2)))*Inputs!$B$23^2/Inputs!$B$12)/((Inputs!$B$12*((Inputs!$B$15*(Inputs!$B$12*A127*1000/(Inputs!$B$23^2))^Inputs!$B$16*Inputs!$B$23/Inputs!$B$12))^2/(2*PI())))))</f>
        <v>8.1556092302863092</v>
      </c>
    </row>
    <row r="128" spans="1:5" x14ac:dyDescent="0.25">
      <c r="A128" s="4">
        <v>127</v>
      </c>
      <c r="B128" s="9">
        <f>DEGREES(ATAN((Inputs!$B$13*TANH(Inputs!$B$14*(Inputs!$B$12*A128*1000/(Inputs!$B$20^2)))*Inputs!$B$20^2/Inputs!$B$12)/((Inputs!$B$12*((Inputs!$B$15*(Inputs!$B$12*A128*1000/(Inputs!$B$20^2))^Inputs!$B$16*Inputs!$B$20/Inputs!$B$12))^2/(2*PI())))))</f>
        <v>2.4058728132804652</v>
      </c>
      <c r="C128" s="9">
        <f>DEGREES(ATAN((Inputs!$B$13*TANH(Inputs!$B$14*(Inputs!$B$12*A128*1000/(Inputs!$B$21^2)))*Inputs!$B$21^2/Inputs!$B$12)/((Inputs!$B$12*((Inputs!$B$15*(Inputs!$B$12*A128*1000/(Inputs!$B$21^2))^Inputs!$B$16*Inputs!$B$21/Inputs!$B$12))^2/(2*PI())))))</f>
        <v>4.1263362402708417</v>
      </c>
      <c r="D128" s="9">
        <f>DEGREES(ATAN((Inputs!$B$13*TANH(Inputs!$B$14*(Inputs!$B$12*A128*1000/(Inputs!$B$22^2)))*Inputs!$B$22^2/Inputs!$B$12)/((Inputs!$B$12*((Inputs!$B$15*(Inputs!$B$12*A128*1000/(Inputs!$B$22^2))^Inputs!$B$16*Inputs!$B$22/Inputs!$B$12))^2/(2*PI())))))</f>
        <v>6.0434723518814248</v>
      </c>
      <c r="E128" s="9">
        <f>DEGREES(ATAN((Inputs!$B$13*TANH(Inputs!$B$14*(Inputs!$B$12*A128*1000/(Inputs!$B$23^2)))*Inputs!$B$23^2/Inputs!$B$12)/((Inputs!$B$12*((Inputs!$B$15*(Inputs!$B$12*A128*1000/(Inputs!$B$23^2))^Inputs!$B$16*Inputs!$B$23/Inputs!$B$12))^2/(2*PI())))))</f>
        <v>8.1133134851985282</v>
      </c>
    </row>
    <row r="129" spans="1:5" x14ac:dyDescent="0.25">
      <c r="A129" s="4">
        <v>128</v>
      </c>
      <c r="B129" s="9">
        <f>DEGREES(ATAN((Inputs!$B$13*TANH(Inputs!$B$14*(Inputs!$B$12*A129*1000/(Inputs!$B$20^2)))*Inputs!$B$20^2/Inputs!$B$12)/((Inputs!$B$12*((Inputs!$B$15*(Inputs!$B$12*A129*1000/(Inputs!$B$20^2))^Inputs!$B$16*Inputs!$B$20/Inputs!$B$12))^2/(2*PI())))))</f>
        <v>2.3933404812414913</v>
      </c>
      <c r="C129" s="9">
        <f>DEGREES(ATAN((Inputs!$B$13*TANH(Inputs!$B$14*(Inputs!$B$12*A129*1000/(Inputs!$B$21^2)))*Inputs!$B$21^2/Inputs!$B$12)/((Inputs!$B$12*((Inputs!$B$15*(Inputs!$B$12*A129*1000/(Inputs!$B$21^2))^Inputs!$B$16*Inputs!$B$21/Inputs!$B$12))^2/(2*PI())))))</f>
        <v>4.1048905779495346</v>
      </c>
      <c r="D129" s="9">
        <f>DEGREES(ATAN((Inputs!$B$13*TANH(Inputs!$B$14*(Inputs!$B$12*A129*1000/(Inputs!$B$22^2)))*Inputs!$B$22^2/Inputs!$B$12)/((Inputs!$B$12*((Inputs!$B$15*(Inputs!$B$12*A129*1000/(Inputs!$B$22^2))^Inputs!$B$16*Inputs!$B$22/Inputs!$B$12))^2/(2*PI())))))</f>
        <v>6.0121862505220784</v>
      </c>
      <c r="E129" s="9">
        <f>DEGREES(ATAN((Inputs!$B$13*TANH(Inputs!$B$14*(Inputs!$B$12*A129*1000/(Inputs!$B$23^2)))*Inputs!$B$23^2/Inputs!$B$12)/((Inputs!$B$12*((Inputs!$B$15*(Inputs!$B$12*A129*1000/(Inputs!$B$23^2))^Inputs!$B$16*Inputs!$B$23/Inputs!$B$12))^2/(2*PI())))))</f>
        <v>8.0715604557132945</v>
      </c>
    </row>
    <row r="130" spans="1:5" x14ac:dyDescent="0.25">
      <c r="A130" s="4">
        <v>129</v>
      </c>
      <c r="B130" s="9">
        <f>DEGREES(ATAN((Inputs!$B$13*TANH(Inputs!$B$14*(Inputs!$B$12*A130*1000/(Inputs!$B$20^2)))*Inputs!$B$20^2/Inputs!$B$12)/((Inputs!$B$12*((Inputs!$B$15*(Inputs!$B$12*A130*1000/(Inputs!$B$20^2))^Inputs!$B$16*Inputs!$B$20/Inputs!$B$12))^2/(2*PI())))))</f>
        <v>2.3809700511060456</v>
      </c>
      <c r="C130" s="9">
        <f>DEGREES(ATAN((Inputs!$B$13*TANH(Inputs!$B$14*(Inputs!$B$12*A130*1000/(Inputs!$B$21^2)))*Inputs!$B$21^2/Inputs!$B$12)/((Inputs!$B$12*((Inputs!$B$15*(Inputs!$B$12*A130*1000/(Inputs!$B$21^2))^Inputs!$B$16*Inputs!$B$21/Inputs!$B$12))^2/(2*PI())))))</f>
        <v>4.0837212210820981</v>
      </c>
      <c r="D130" s="9">
        <f>DEGREES(ATAN((Inputs!$B$13*TANH(Inputs!$B$14*(Inputs!$B$12*A130*1000/(Inputs!$B$22^2)))*Inputs!$B$22^2/Inputs!$B$12)/((Inputs!$B$12*((Inputs!$B$15*(Inputs!$B$12*A130*1000/(Inputs!$B$22^2))^Inputs!$B$16*Inputs!$B$22/Inputs!$B$12))^2/(2*PI())))))</f>
        <v>5.9813013576647815</v>
      </c>
      <c r="E130" s="9">
        <f>DEGREES(ATAN((Inputs!$B$13*TANH(Inputs!$B$14*(Inputs!$B$12*A130*1000/(Inputs!$B$23^2)))*Inputs!$B$23^2/Inputs!$B$12)/((Inputs!$B$12*((Inputs!$B$15*(Inputs!$B$12*A130*1000/(Inputs!$B$23^2))^Inputs!$B$16*Inputs!$B$23/Inputs!$B$12))^2/(2*PI())))))</f>
        <v>8.0303391062782783</v>
      </c>
    </row>
    <row r="131" spans="1:5" x14ac:dyDescent="0.25">
      <c r="A131" s="4">
        <v>130</v>
      </c>
      <c r="B131" s="9">
        <f>DEGREES(ATAN((Inputs!$B$13*TANH(Inputs!$B$14*(Inputs!$B$12*A131*1000/(Inputs!$B$20^2)))*Inputs!$B$20^2/Inputs!$B$12)/((Inputs!$B$12*((Inputs!$B$15*(Inputs!$B$12*A131*1000/(Inputs!$B$20^2))^Inputs!$B$16*Inputs!$B$20/Inputs!$B$12))^2/(2*PI())))))</f>
        <v>2.3687582026640679</v>
      </c>
      <c r="C131" s="9">
        <f>DEGREES(ATAN((Inputs!$B$13*TANH(Inputs!$B$14*(Inputs!$B$12*A131*1000/(Inputs!$B$21^2)))*Inputs!$B$21^2/Inputs!$B$12)/((Inputs!$B$12*((Inputs!$B$15*(Inputs!$B$12*A131*1000/(Inputs!$B$21^2))^Inputs!$B$16*Inputs!$B$21/Inputs!$B$12))^2/(2*PI())))))</f>
        <v>4.0628225203136452</v>
      </c>
      <c r="D131" s="9">
        <f>DEGREES(ATAN((Inputs!$B$13*TANH(Inputs!$B$14*(Inputs!$B$12*A131*1000/(Inputs!$B$22^2)))*Inputs!$B$22^2/Inputs!$B$12)/((Inputs!$B$12*((Inputs!$B$15*(Inputs!$B$12*A131*1000/(Inputs!$B$22^2))^Inputs!$B$16*Inputs!$B$22/Inputs!$B$12))^2/(2*PI())))))</f>
        <v>5.9508095128226186</v>
      </c>
      <c r="E131" s="9">
        <f>DEGREES(ATAN((Inputs!$B$13*TANH(Inputs!$B$14*(Inputs!$B$12*A131*1000/(Inputs!$B$23^2)))*Inputs!$B$23^2/Inputs!$B$12)/((Inputs!$B$12*((Inputs!$B$15*(Inputs!$B$12*A131*1000/(Inputs!$B$23^2))^Inputs!$B$16*Inputs!$B$23/Inputs!$B$12))^2/(2*PI())))))</f>
        <v>7.9896387070711361</v>
      </c>
    </row>
    <row r="132" spans="1:5" x14ac:dyDescent="0.25">
      <c r="A132" s="4">
        <v>131</v>
      </c>
      <c r="B132" s="9">
        <f>DEGREES(ATAN((Inputs!$B$13*TANH(Inputs!$B$14*(Inputs!$B$12*A132*1000/(Inputs!$B$20^2)))*Inputs!$B$20^2/Inputs!$B$12)/((Inputs!$B$12*((Inputs!$B$15*(Inputs!$B$12*A132*1000/(Inputs!$B$20^2))^Inputs!$B$16*Inputs!$B$20/Inputs!$B$12))^2/(2*PI())))))</f>
        <v>2.3567017086012583</v>
      </c>
      <c r="C132" s="9">
        <f>DEGREES(ATAN((Inputs!$B$13*TANH(Inputs!$B$14*(Inputs!$B$12*A132*1000/(Inputs!$B$21^2)))*Inputs!$B$21^2/Inputs!$B$12)/((Inputs!$B$12*((Inputs!$B$15*(Inputs!$B$12*A132*1000/(Inputs!$B$21^2))^Inputs!$B$16*Inputs!$B$21/Inputs!$B$12))^2/(2*PI())))))</f>
        <v>4.0421889838395728</v>
      </c>
      <c r="D132" s="9">
        <f>DEGREES(ATAN((Inputs!$B$13*TANH(Inputs!$B$14*(Inputs!$B$12*A132*1000/(Inputs!$B$22^2)))*Inputs!$B$22^2/Inputs!$B$12)/((Inputs!$B$12*((Inputs!$B$15*(Inputs!$B$12*A132*1000/(Inputs!$B$22^2))^Inputs!$B$16*Inputs!$B$22/Inputs!$B$12))^2/(2*PI())))))</f>
        <v>5.9207027818114479</v>
      </c>
      <c r="E132" s="9">
        <f>DEGREES(ATAN((Inputs!$B$13*TANH(Inputs!$B$14*(Inputs!$B$12*A132*1000/(Inputs!$B$23^2)))*Inputs!$B$23^2/Inputs!$B$12)/((Inputs!$B$12*((Inputs!$B$15*(Inputs!$B$12*A132*1000/(Inputs!$B$23^2))^Inputs!$B$16*Inputs!$B$23/Inputs!$B$12))^2/(2*PI())))))</f>
        <v>7.9494488233145981</v>
      </c>
    </row>
    <row r="133" spans="1:5" x14ac:dyDescent="0.25">
      <c r="A133" s="4">
        <v>132</v>
      </c>
      <c r="B133" s="9">
        <f>DEGREES(ATAN((Inputs!$B$13*TANH(Inputs!$B$14*(Inputs!$B$12*A133*1000/(Inputs!$B$20^2)))*Inputs!$B$20^2/Inputs!$B$12)/((Inputs!$B$12*((Inputs!$B$15*(Inputs!$B$12*A133*1000/(Inputs!$B$20^2))^Inputs!$B$16*Inputs!$B$20/Inputs!$B$12))^2/(2*PI())))))</f>
        <v>2.3447974312165125</v>
      </c>
      <c r="C133" s="9">
        <f>DEGREES(ATAN((Inputs!$B$13*TANH(Inputs!$B$14*(Inputs!$B$12*A133*1000/(Inputs!$B$21^2)))*Inputs!$B$21^2/Inputs!$B$12)/((Inputs!$B$12*((Inputs!$B$15*(Inputs!$B$12*A133*1000/(Inputs!$B$21^2))^Inputs!$B$16*Inputs!$B$21/Inputs!$B$12))^2/(2*PI())))))</f>
        <v>4.0218152718575864</v>
      </c>
      <c r="D133" s="9">
        <f>DEGREES(ATAN((Inputs!$B$13*TANH(Inputs!$B$14*(Inputs!$B$12*A133*1000/(Inputs!$B$22^2)))*Inputs!$B$22^2/Inputs!$B$12)/((Inputs!$B$12*((Inputs!$B$15*(Inputs!$B$12*A133*1000/(Inputs!$B$22^2))^Inputs!$B$16*Inputs!$B$22/Inputs!$B$12))^2/(2*PI())))))</f>
        <v>5.8909734488283885</v>
      </c>
      <c r="E133" s="9">
        <f>DEGREES(ATAN((Inputs!$B$13*TANH(Inputs!$B$14*(Inputs!$B$12*A133*1000/(Inputs!$B$23^2)))*Inputs!$B$23^2/Inputs!$B$12)/((Inputs!$B$12*((Inputs!$B$15*(Inputs!$B$12*A133*1000/(Inputs!$B$23^2))^Inputs!$B$16*Inputs!$B$23/Inputs!$B$12))^2/(2*PI())))))</f>
        <v>7.9097593050411117</v>
      </c>
    </row>
    <row r="134" spans="1:5" x14ac:dyDescent="0.25">
      <c r="A134" s="4">
        <v>133</v>
      </c>
      <c r="B134" s="9">
        <f>DEGREES(ATAN((Inputs!$B$13*TANH(Inputs!$B$14*(Inputs!$B$12*A134*1000/(Inputs!$B$20^2)))*Inputs!$B$20^2/Inputs!$B$12)/((Inputs!$B$12*((Inputs!$B$15*(Inputs!$B$12*A134*1000/(Inputs!$B$20^2))^Inputs!$B$16*Inputs!$B$20/Inputs!$B$12))^2/(2*PI())))))</f>
        <v>2.3330423192791794</v>
      </c>
      <c r="C134" s="9">
        <f>DEGREES(ATAN((Inputs!$B$13*TANH(Inputs!$B$14*(Inputs!$B$12*A134*1000/(Inputs!$B$21^2)))*Inputs!$B$21^2/Inputs!$B$12)/((Inputs!$B$12*((Inputs!$B$15*(Inputs!$B$12*A134*1000/(Inputs!$B$21^2))^Inputs!$B$16*Inputs!$B$21/Inputs!$B$12))^2/(2*PI())))))</f>
        <v>4.0016961912550482</v>
      </c>
      <c r="D134" s="9">
        <f>DEGREES(ATAN((Inputs!$B$13*TANH(Inputs!$B$14*(Inputs!$B$12*A134*1000/(Inputs!$B$22^2)))*Inputs!$B$22^2/Inputs!$B$12)/((Inputs!$B$12*((Inputs!$B$15*(Inputs!$B$12*A134*1000/(Inputs!$B$22^2))^Inputs!$B$16*Inputs!$B$22/Inputs!$B$12))^2/(2*PI())))))</f>
        <v>5.8616140088642519</v>
      </c>
      <c r="E134" s="9">
        <f>DEGREES(ATAN((Inputs!$B$13*TANH(Inputs!$B$14*(Inputs!$B$12*A134*1000/(Inputs!$B$23^2)))*Inputs!$B$23^2/Inputs!$B$12)/((Inputs!$B$12*((Inputs!$B$15*(Inputs!$B$12*A134*1000/(Inputs!$B$23^2))^Inputs!$B$16*Inputs!$B$23/Inputs!$B$12))^2/(2*PI())))))</f>
        <v>7.8705602772849943</v>
      </c>
    </row>
    <row r="135" spans="1:5" x14ac:dyDescent="0.25">
      <c r="A135" s="4">
        <v>134</v>
      </c>
      <c r="B135" s="9">
        <f>DEGREES(ATAN((Inputs!$B$13*TANH(Inputs!$B$14*(Inputs!$B$12*A135*1000/(Inputs!$B$20^2)))*Inputs!$B$20^2/Inputs!$B$12)/((Inputs!$B$12*((Inputs!$B$15*(Inputs!$B$12*A135*1000/(Inputs!$B$20^2))^Inputs!$B$16*Inputs!$B$20/Inputs!$B$12))^2/(2*PI())))))</f>
        <v>2.3214334050190923</v>
      </c>
      <c r="C135" s="9">
        <f>DEGREES(ATAN((Inputs!$B$13*TANH(Inputs!$B$14*(Inputs!$B$12*A135*1000/(Inputs!$B$21^2)))*Inputs!$B$21^2/Inputs!$B$12)/((Inputs!$B$12*((Inputs!$B$15*(Inputs!$B$12*A135*1000/(Inputs!$B$21^2))^Inputs!$B$16*Inputs!$B$21/Inputs!$B$12))^2/(2*PI())))))</f>
        <v>3.9818266905201316</v>
      </c>
      <c r="D135" s="9">
        <f>DEGREES(ATAN((Inputs!$B$13*TANH(Inputs!$B$14*(Inputs!$B$12*A135*1000/(Inputs!$B$22^2)))*Inputs!$B$22^2/Inputs!$B$12)/((Inputs!$B$12*((Inputs!$B$15*(Inputs!$B$12*A135*1000/(Inputs!$B$22^2))^Inputs!$B$16*Inputs!$B$22/Inputs!$B$12))^2/(2*PI())))))</f>
        <v>5.8326171604335695</v>
      </c>
      <c r="E135" s="9">
        <f>DEGREES(ATAN((Inputs!$B$13*TANH(Inputs!$B$14*(Inputs!$B$12*A135*1000/(Inputs!$B$23^2)))*Inputs!$B$23^2/Inputs!$B$12)/((Inputs!$B$12*((Inputs!$B$15*(Inputs!$B$12*A135*1000/(Inputs!$B$23^2))^Inputs!$B$16*Inputs!$B$23/Inputs!$B$12))^2/(2*PI())))))</f>
        <v>7.8318421306811592</v>
      </c>
    </row>
    <row r="136" spans="1:5" x14ac:dyDescent="0.25">
      <c r="A136" s="4">
        <v>135</v>
      </c>
      <c r="B136" s="9">
        <f>DEGREES(ATAN((Inputs!$B$13*TANH(Inputs!$B$14*(Inputs!$B$12*A136*1000/(Inputs!$B$20^2)))*Inputs!$B$20^2/Inputs!$B$12)/((Inputs!$B$12*((Inputs!$B$15*(Inputs!$B$12*A136*1000/(Inputs!$B$20^2))^Inputs!$B$16*Inputs!$B$20/Inputs!$B$12))^2/(2*PI())))))</f>
        <v>2.3099678012429177</v>
      </c>
      <c r="C136" s="9">
        <f>DEGREES(ATAN((Inputs!$B$13*TANH(Inputs!$B$14*(Inputs!$B$12*A136*1000/(Inputs!$B$21^2)))*Inputs!$B$21^2/Inputs!$B$12)/((Inputs!$B$12*((Inputs!$B$15*(Inputs!$B$12*A136*1000/(Inputs!$B$21^2))^Inputs!$B$16*Inputs!$B$21/Inputs!$B$12))^2/(2*PI())))))</f>
        <v>3.9622018548656333</v>
      </c>
      <c r="D136" s="9">
        <f>DEGREES(ATAN((Inputs!$B$13*TANH(Inputs!$B$14*(Inputs!$B$12*A136*1000/(Inputs!$B$22^2)))*Inputs!$B$22^2/Inputs!$B$12)/((Inputs!$B$12*((Inputs!$B$15*(Inputs!$B$12*A136*1000/(Inputs!$B$22^2))^Inputs!$B$16*Inputs!$B$22/Inputs!$B$12))^2/(2*PI())))))</f>
        <v>5.8039757986066034</v>
      </c>
      <c r="E136" s="9">
        <f>DEGREES(ATAN((Inputs!$B$13*TANH(Inputs!$B$14*(Inputs!$B$12*A136*1000/(Inputs!$B$23^2)))*Inputs!$B$23^2/Inputs!$B$12)/((Inputs!$B$12*((Inputs!$B$15*(Inputs!$B$12*A136*1000/(Inputs!$B$23^2))^Inputs!$B$16*Inputs!$B$23/Inputs!$B$12))^2/(2*PI())))))</f>
        <v>7.7935955124509988</v>
      </c>
    </row>
    <row r="137" spans="1:5" x14ac:dyDescent="0.25">
      <c r="A137" s="4">
        <v>136</v>
      </c>
      <c r="B137" s="9">
        <f>DEGREES(ATAN((Inputs!$B$13*TANH(Inputs!$B$14*(Inputs!$B$12*A137*1000/(Inputs!$B$20^2)))*Inputs!$B$20^2/Inputs!$B$12)/((Inputs!$B$12*((Inputs!$B$15*(Inputs!$B$12*A137*1000/(Inputs!$B$20^2))^Inputs!$B$16*Inputs!$B$20/Inputs!$B$12))^2/(2*PI())))))</f>
        <v>2.2986426985705464</v>
      </c>
      <c r="C137" s="9">
        <f>DEGREES(ATAN((Inputs!$B$13*TANH(Inputs!$B$14*(Inputs!$B$12*A137*1000/(Inputs!$B$21^2)))*Inputs!$B$21^2/Inputs!$B$12)/((Inputs!$B$12*((Inputs!$B$15*(Inputs!$B$12*A137*1000/(Inputs!$B$21^2))^Inputs!$B$16*Inputs!$B$21/Inputs!$B$12))^2/(2*PI())))))</f>
        <v>3.9428169015551631</v>
      </c>
      <c r="D137" s="9">
        <f>DEGREES(ATAN((Inputs!$B$13*TANH(Inputs!$B$14*(Inputs!$B$12*A137*1000/(Inputs!$B$22^2)))*Inputs!$B$22^2/Inputs!$B$12)/((Inputs!$B$12*((Inputs!$B$15*(Inputs!$B$12*A137*1000/(Inputs!$B$22^2))^Inputs!$B$16*Inputs!$B$22/Inputs!$B$12))^2/(2*PI())))))</f>
        <v>5.7756830083288095</v>
      </c>
      <c r="E137" s="9">
        <f>DEGREES(ATAN((Inputs!$B$13*TANH(Inputs!$B$14*(Inputs!$B$12*A137*1000/(Inputs!$B$23^2)))*Inputs!$B$23^2/Inputs!$B$12)/((Inputs!$B$12*((Inputs!$B$15*(Inputs!$B$12*A137*1000/(Inputs!$B$23^2))^Inputs!$B$16*Inputs!$B$23/Inputs!$B$12))^2/(2*PI())))))</f>
        <v>7.7558113177564438</v>
      </c>
    </row>
    <row r="138" spans="1:5" x14ac:dyDescent="0.25">
      <c r="A138" s="4">
        <v>137</v>
      </c>
      <c r="B138" s="9">
        <f>DEGREES(ATAN((Inputs!$B$13*TANH(Inputs!$B$14*(Inputs!$B$12*A138*1000/(Inputs!$B$20^2)))*Inputs!$B$20^2/Inputs!$B$12)/((Inputs!$B$12*((Inputs!$B$15*(Inputs!$B$12*A138*1000/(Inputs!$B$20^2))^Inputs!$B$16*Inputs!$B$20/Inputs!$B$12))^2/(2*PI())))))</f>
        <v>2.2874553627857543</v>
      </c>
      <c r="C138" s="9">
        <f>DEGREES(ATAN((Inputs!$B$13*TANH(Inputs!$B$14*(Inputs!$B$12*A138*1000/(Inputs!$B$21^2)))*Inputs!$B$21^2/Inputs!$B$12)/((Inputs!$B$12*((Inputs!$B$15*(Inputs!$B$12*A138*1000/(Inputs!$B$21^2))^Inputs!$B$16*Inputs!$B$21/Inputs!$B$12))^2/(2*PI())))))</f>
        <v>3.9236671754218939</v>
      </c>
      <c r="D138" s="9">
        <f>DEGREES(ATAN((Inputs!$B$13*TANH(Inputs!$B$14*(Inputs!$B$12*A138*1000/(Inputs!$B$22^2)))*Inputs!$B$22^2/Inputs!$B$12)/((Inputs!$B$12*((Inputs!$B$15*(Inputs!$B$12*A138*1000/(Inputs!$B$22^2))^Inputs!$B$16*Inputs!$B$22/Inputs!$B$12))^2/(2*PI())))))</f>
        <v>5.7477320580138</v>
      </c>
      <c r="E138" s="9">
        <f>DEGREES(ATAN((Inputs!$B$13*TANH(Inputs!$B$14*(Inputs!$B$12*A138*1000/(Inputs!$B$23^2)))*Inputs!$B$23^2/Inputs!$B$12)/((Inputs!$B$12*((Inputs!$B$15*(Inputs!$B$12*A138*1000/(Inputs!$B$23^2))^Inputs!$B$16*Inputs!$B$23/Inputs!$B$12))^2/(2*PI())))))</f>
        <v>7.7184806814050226</v>
      </c>
    </row>
    <row r="139" spans="1:5" x14ac:dyDescent="0.25">
      <c r="A139" s="4">
        <v>138</v>
      </c>
      <c r="B139" s="9">
        <f>DEGREES(ATAN((Inputs!$B$13*TANH(Inputs!$B$14*(Inputs!$B$12*A139*1000/(Inputs!$B$20^2)))*Inputs!$B$20^2/Inputs!$B$12)/((Inputs!$B$12*((Inputs!$B$15*(Inputs!$B$12*A139*1000/(Inputs!$B$20^2))^Inputs!$B$16*Inputs!$B$20/Inputs!$B$12))^2/(2*PI())))))</f>
        <v>2.2764031322956049</v>
      </c>
      <c r="C139" s="9">
        <f>DEGREES(ATAN((Inputs!$B$13*TANH(Inputs!$B$14*(Inputs!$B$12*A139*1000/(Inputs!$B$21^2)))*Inputs!$B$21^2/Inputs!$B$12)/((Inputs!$B$12*((Inputs!$B$15*(Inputs!$B$12*A139*1000/(Inputs!$B$21^2))^Inputs!$B$16*Inputs!$B$21/Inputs!$B$12))^2/(2*PI())))))</f>
        <v>3.9047481445705303</v>
      </c>
      <c r="D139" s="9">
        <f>DEGREES(ATAN((Inputs!$B$13*TANH(Inputs!$B$14*(Inputs!$B$12*A139*1000/(Inputs!$B$22^2)))*Inputs!$B$22^2/Inputs!$B$12)/((Inputs!$B$12*((Inputs!$B$15*(Inputs!$B$12*A139*1000/(Inputs!$B$22^2))^Inputs!$B$16*Inputs!$B$22/Inputs!$B$12))^2/(2*PI())))))</f>
        <v>5.7201163933967898</v>
      </c>
      <c r="E139" s="9">
        <f>DEGREES(ATAN((Inputs!$B$13*TANH(Inputs!$B$14*(Inputs!$B$12*A139*1000/(Inputs!$B$23^2)))*Inputs!$B$23^2/Inputs!$B$12)/((Inputs!$B$12*((Inputs!$B$15*(Inputs!$B$12*A139*1000/(Inputs!$B$23^2))^Inputs!$B$16*Inputs!$B$23/Inputs!$B$12))^2/(2*PI())))))</f>
        <v>7.6815949698890611</v>
      </c>
    </row>
    <row r="140" spans="1:5" x14ac:dyDescent="0.25">
      <c r="A140" s="4">
        <v>139</v>
      </c>
      <c r="B140" s="9">
        <f>DEGREES(ATAN((Inputs!$B$13*TANH(Inputs!$B$14*(Inputs!$B$12*A140*1000/(Inputs!$B$20^2)))*Inputs!$B$20^2/Inputs!$B$12)/((Inputs!$B$12*((Inputs!$B$15*(Inputs!$B$12*A140*1000/(Inputs!$B$20^2))^Inputs!$B$16*Inputs!$B$20/Inputs!$B$12))^2/(2*PI())))))</f>
        <v>2.2654834156933199</v>
      </c>
      <c r="C140" s="9">
        <f>DEGREES(ATAN((Inputs!$B$13*TANH(Inputs!$B$14*(Inputs!$B$12*A140*1000/(Inputs!$B$21^2)))*Inputs!$B$21^2/Inputs!$B$12)/((Inputs!$B$12*((Inputs!$B$15*(Inputs!$B$12*A140*1000/(Inputs!$B$21^2))^Inputs!$B$16*Inputs!$B$21/Inputs!$B$12))^2/(2*PI())))))</f>
        <v>3.8860553962538829</v>
      </c>
      <c r="D140" s="9">
        <f>DEGREES(ATAN((Inputs!$B$13*TANH(Inputs!$B$14*(Inputs!$B$12*A140*1000/(Inputs!$B$22^2)))*Inputs!$B$22^2/Inputs!$B$12)/((Inputs!$B$12*((Inputs!$B$15*(Inputs!$B$12*A140*1000/(Inputs!$B$22^2))^Inputs!$B$16*Inputs!$B$22/Inputs!$B$12))^2/(2*PI())))))</f>
        <v>5.6928296316362319</v>
      </c>
      <c r="E140" s="9">
        <f>DEGREES(ATAN((Inputs!$B$13*TANH(Inputs!$B$14*(Inputs!$B$12*A140*1000/(Inputs!$B$23^2)))*Inputs!$B$23^2/Inputs!$B$12)/((Inputs!$B$12*((Inputs!$B$15*(Inputs!$B$12*A140*1000/(Inputs!$B$23^2))^Inputs!$B$16*Inputs!$B$23/Inputs!$B$12))^2/(2*PI())))))</f>
        <v>7.645145773743419</v>
      </c>
    </row>
    <row r="141" spans="1:5" x14ac:dyDescent="0.25">
      <c r="A141" s="4">
        <v>140</v>
      </c>
      <c r="B141" s="9">
        <f>DEGREES(ATAN((Inputs!$B$13*TANH(Inputs!$B$14*(Inputs!$B$12*A141*1000/(Inputs!$B$20^2)))*Inputs!$B$20^2/Inputs!$B$12)/((Inputs!$B$12*((Inputs!$B$15*(Inputs!$B$12*A141*1000/(Inputs!$B$20^2))^Inputs!$B$16*Inputs!$B$20/Inputs!$B$12))^2/(2*PI())))))</f>
        <v>2.254693689419796</v>
      </c>
      <c r="C141" s="9">
        <f>DEGREES(ATAN((Inputs!$B$13*TANH(Inputs!$B$14*(Inputs!$B$12*A141*1000/(Inputs!$B$21^2)))*Inputs!$B$21^2/Inputs!$B$12)/((Inputs!$B$12*((Inputs!$B$15*(Inputs!$B$12*A141*1000/(Inputs!$B$21^2))^Inputs!$B$16*Inputs!$B$21/Inputs!$B$12))^2/(2*PI())))))</f>
        <v>3.8675846329156096</v>
      </c>
      <c r="D141" s="9">
        <f>DEGREES(ATAN((Inputs!$B$13*TANH(Inputs!$B$14*(Inputs!$B$12*A141*1000/(Inputs!$B$22^2)))*Inputs!$B$22^2/Inputs!$B$12)/((Inputs!$B$12*((Inputs!$B$15*(Inputs!$B$12*A141*1000/(Inputs!$B$22^2))^Inputs!$B$16*Inputs!$B$22/Inputs!$B$12))^2/(2*PI())))))</f>
        <v>5.6658655556517505</v>
      </c>
      <c r="E141" s="9">
        <f>DEGREES(ATAN((Inputs!$B$13*TANH(Inputs!$B$14*(Inputs!$B$12*A141*1000/(Inputs!$B$23^2)))*Inputs!$B$23^2/Inputs!$B$12)/((Inputs!$B$12*((Inputs!$B$15*(Inputs!$B$12*A141*1000/(Inputs!$B$23^2))^Inputs!$B$16*Inputs!$B$23/Inputs!$B$12))^2/(2*PI())))))</f>
        <v>7.6091249002067931</v>
      </c>
    </row>
    <row r="142" spans="1:5" x14ac:dyDescent="0.25">
      <c r="A142" s="4">
        <v>141</v>
      </c>
      <c r="B142" s="9">
        <f>DEGREES(ATAN((Inputs!$B$13*TANH(Inputs!$B$14*(Inputs!$B$12*A142*1000/(Inputs!$B$20^2)))*Inputs!$B$20^2/Inputs!$B$12)/((Inputs!$B$12*((Inputs!$B$15*(Inputs!$B$12*A142*1000/(Inputs!$B$20^2))^Inputs!$B$16*Inputs!$B$20/Inputs!$B$12))^2/(2*PI())))))</f>
        <v>2.2440314955190246</v>
      </c>
      <c r="C142" s="9">
        <f>DEGREES(ATAN((Inputs!$B$13*TANH(Inputs!$B$14*(Inputs!$B$12*A142*1000/(Inputs!$B$21^2)))*Inputs!$B$21^2/Inputs!$B$12)/((Inputs!$B$12*((Inputs!$B$15*(Inputs!$B$12*A142*1000/(Inputs!$B$21^2))^Inputs!$B$16*Inputs!$B$21/Inputs!$B$12))^2/(2*PI())))))</f>
        <v>3.8493316683914496</v>
      </c>
      <c r="D142" s="9">
        <f>DEGREES(ATAN((Inputs!$B$13*TANH(Inputs!$B$14*(Inputs!$B$12*A142*1000/(Inputs!$B$22^2)))*Inputs!$B$22^2/Inputs!$B$12)/((Inputs!$B$12*((Inputs!$B$15*(Inputs!$B$12*A142*1000/(Inputs!$B$22^2))^Inputs!$B$16*Inputs!$B$22/Inputs!$B$12))^2/(2*PI())))))</f>
        <v>5.6392181086875599</v>
      </c>
      <c r="E142" s="9">
        <f>DEGREES(ATAN((Inputs!$B$13*TANH(Inputs!$B$14*(Inputs!$B$12*A142*1000/(Inputs!$B$23^2)))*Inputs!$B$23^2/Inputs!$B$12)/((Inputs!$B$12*((Inputs!$B$15*(Inputs!$B$12*A142*1000/(Inputs!$B$23^2))^Inputs!$B$16*Inputs!$B$23/Inputs!$B$12))^2/(2*PI())))))</f>
        <v>7.573524366172669</v>
      </c>
    </row>
    <row r="143" spans="1:5" x14ac:dyDescent="0.25">
      <c r="A143" s="4">
        <v>142</v>
      </c>
      <c r="B143" s="9">
        <f>DEGREES(ATAN((Inputs!$B$13*TANH(Inputs!$B$14*(Inputs!$B$12*A143*1000/(Inputs!$B$20^2)))*Inputs!$B$20^2/Inputs!$B$12)/((Inputs!$B$12*((Inputs!$B$15*(Inputs!$B$12*A143*1000/(Inputs!$B$20^2))^Inputs!$B$16*Inputs!$B$20/Inputs!$B$12))^2/(2*PI())))))</f>
        <v>2.2334944394830436</v>
      </c>
      <c r="C143" s="9">
        <f>DEGREES(ATAN((Inputs!$B$13*TANH(Inputs!$B$14*(Inputs!$B$12*A143*1000/(Inputs!$B$21^2)))*Inputs!$B$21^2/Inputs!$B$12)/((Inputs!$B$12*((Inputs!$B$15*(Inputs!$B$12*A143*1000/(Inputs!$B$21^2))^Inputs!$B$16*Inputs!$B$21/Inputs!$B$12))^2/(2*PI())))))</f>
        <v>3.8312924242614272</v>
      </c>
      <c r="D143" s="9">
        <f>DEGREES(ATAN((Inputs!$B$13*TANH(Inputs!$B$14*(Inputs!$B$12*A143*1000/(Inputs!$B$22^2)))*Inputs!$B$22^2/Inputs!$B$12)/((Inputs!$B$12*((Inputs!$B$15*(Inputs!$B$12*A143*1000/(Inputs!$B$22^2))^Inputs!$B$16*Inputs!$B$22/Inputs!$B$12))^2/(2*PI())))))</f>
        <v>5.6128813890906466</v>
      </c>
      <c r="E143" s="9">
        <f>DEGREES(ATAN((Inputs!$B$13*TANH(Inputs!$B$14*(Inputs!$B$12*A143*1000/(Inputs!$B$23^2)))*Inputs!$B$23^2/Inputs!$B$12)/((Inputs!$B$12*((Inputs!$B$15*(Inputs!$B$12*A143*1000/(Inputs!$B$23^2))^Inputs!$B$16*Inputs!$B$23/Inputs!$B$12))^2/(2*PI())))))</f>
        <v>7.5383363914163812</v>
      </c>
    </row>
    <row r="144" spans="1:5" x14ac:dyDescent="0.25">
      <c r="A144" s="4">
        <v>143</v>
      </c>
      <c r="B144" s="9">
        <f>DEGREES(ATAN((Inputs!$B$13*TANH(Inputs!$B$14*(Inputs!$B$12*A144*1000/(Inputs!$B$20^2)))*Inputs!$B$20^2/Inputs!$B$12)/((Inputs!$B$12*((Inputs!$B$15*(Inputs!$B$12*A144*1000/(Inputs!$B$20^2))^Inputs!$B$16*Inputs!$B$20/Inputs!$B$12))^2/(2*PI())))))</f>
        <v>2.2230801881822462</v>
      </c>
      <c r="C144" s="9">
        <f>DEGREES(ATAN((Inputs!$B$13*TANH(Inputs!$B$14*(Inputs!$B$12*A144*1000/(Inputs!$B$21^2)))*Inputs!$B$21^2/Inputs!$B$12)/((Inputs!$B$12*((Inputs!$B$15*(Inputs!$B$12*A144*1000/(Inputs!$B$21^2))^Inputs!$B$16*Inputs!$B$21/Inputs!$B$12))^2/(2*PI())))))</f>
        <v>3.8134629263460722</v>
      </c>
      <c r="D144" s="9">
        <f>DEGREES(ATAN((Inputs!$B$13*TANH(Inputs!$B$14*(Inputs!$B$12*A144*1000/(Inputs!$B$22^2)))*Inputs!$B$22^2/Inputs!$B$12)/((Inputs!$B$12*((Inputs!$B$15*(Inputs!$B$12*A144*1000/(Inputs!$B$22^2))^Inputs!$B$16*Inputs!$B$22/Inputs!$B$12))^2/(2*PI())))))</f>
        <v>5.586849645294043</v>
      </c>
      <c r="E144" s="9">
        <f>DEGREES(ATAN((Inputs!$B$13*TANH(Inputs!$B$14*(Inputs!$B$12*A144*1000/(Inputs!$B$23^2)))*Inputs!$B$23^2/Inputs!$B$12)/((Inputs!$B$12*((Inputs!$B$15*(Inputs!$B$12*A144*1000/(Inputs!$B$23^2))^Inputs!$B$16*Inputs!$B$23/Inputs!$B$12))^2/(2*PI())))))</f>
        <v>7.5035533920858457</v>
      </c>
    </row>
    <row r="145" spans="1:5" x14ac:dyDescent="0.25">
      <c r="A145" s="4">
        <v>144</v>
      </c>
      <c r="B145" s="9">
        <f>DEGREES(ATAN((Inputs!$B$13*TANH(Inputs!$B$14*(Inputs!$B$12*A145*1000/(Inputs!$B$20^2)))*Inputs!$B$20^2/Inputs!$B$12)/((Inputs!$B$12*((Inputs!$B$15*(Inputs!$B$12*A145*1000/(Inputs!$B$20^2))^Inputs!$B$16*Inputs!$B$20/Inputs!$B$12))^2/(2*PI())))))</f>
        <v>2.212786467877073</v>
      </c>
      <c r="C145" s="9">
        <f>DEGREES(ATAN((Inputs!$B$13*TANH(Inputs!$B$14*(Inputs!$B$12*A145*1000/(Inputs!$B$21^2)))*Inputs!$B$21^2/Inputs!$B$12)/((Inputs!$B$12*((Inputs!$B$15*(Inputs!$B$12*A145*1000/(Inputs!$B$21^2))^Inputs!$B$16*Inputs!$B$21/Inputs!$B$12))^2/(2*PI())))))</f>
        <v>3.7958393013400249</v>
      </c>
      <c r="D145" s="9">
        <f>DEGREES(ATAN((Inputs!$B$13*TANH(Inputs!$B$14*(Inputs!$B$12*A145*1000/(Inputs!$B$22^2)))*Inputs!$B$22^2/Inputs!$B$12)/((Inputs!$B$12*((Inputs!$B$15*(Inputs!$B$12*A145*1000/(Inputs!$B$22^2))^Inputs!$B$16*Inputs!$B$22/Inputs!$B$12))^2/(2*PI())))))</f>
        <v>5.5611172709955525</v>
      </c>
      <c r="E145" s="9">
        <f>DEGREES(ATAN((Inputs!$B$13*TANH(Inputs!$B$14*(Inputs!$B$12*A145*1000/(Inputs!$B$23^2)))*Inputs!$B$23^2/Inputs!$B$12)/((Inputs!$B$12*((Inputs!$B$15*(Inputs!$B$12*A145*1000/(Inputs!$B$23^2))^Inputs!$B$16*Inputs!$B$23/Inputs!$B$12))^2/(2*PI())))))</f>
        <v>7.4691679744438222</v>
      </c>
    </row>
    <row r="146" spans="1:5" x14ac:dyDescent="0.25">
      <c r="A146" s="4">
        <v>145</v>
      </c>
      <c r="B146" s="9">
        <f>DEGREES(ATAN((Inputs!$B$13*TANH(Inputs!$B$14*(Inputs!$B$12*A146*1000/(Inputs!$B$20^2)))*Inputs!$B$20^2/Inputs!$B$12)/((Inputs!$B$12*((Inputs!$B$15*(Inputs!$B$12*A146*1000/(Inputs!$B$20^2))^Inputs!$B$16*Inputs!$B$20/Inputs!$B$12))^2/(2*PI())))))</f>
        <v>2.2026110623074211</v>
      </c>
      <c r="C146" s="9">
        <f>DEGREES(ATAN((Inputs!$B$13*TANH(Inputs!$B$14*(Inputs!$B$12*A146*1000/(Inputs!$B$21^2)))*Inputs!$B$21^2/Inputs!$B$12)/((Inputs!$B$12*((Inputs!$B$15*(Inputs!$B$12*A146*1000/(Inputs!$B$21^2))^Inputs!$B$16*Inputs!$B$21/Inputs!$B$12))^2/(2*PI())))))</f>
        <v>3.7784177735766451</v>
      </c>
      <c r="D146" s="9">
        <f>DEGREES(ATAN((Inputs!$B$13*TANH(Inputs!$B$14*(Inputs!$B$12*A146*1000/(Inputs!$B$22^2)))*Inputs!$B$22^2/Inputs!$B$12)/((Inputs!$B$12*((Inputs!$B$15*(Inputs!$B$12*A146*1000/(Inputs!$B$22^2))^Inputs!$B$16*Inputs!$B$22/Inputs!$B$12))^2/(2*PI())))))</f>
        <v>5.5356788005232032</v>
      </c>
      <c r="E146" s="9">
        <f>DEGREES(ATAN((Inputs!$B$13*TANH(Inputs!$B$14*(Inputs!$B$12*A146*1000/(Inputs!$B$23^2)))*Inputs!$B$23^2/Inputs!$B$12)/((Inputs!$B$12*((Inputs!$B$15*(Inputs!$B$12*A146*1000/(Inputs!$B$23^2))^Inputs!$B$16*Inputs!$B$23/Inputs!$B$12))^2/(2*PI())))))</f>
        <v>7.4351729288504851</v>
      </c>
    </row>
    <row r="147" spans="1:5" x14ac:dyDescent="0.25">
      <c r="A147" s="4">
        <v>146</v>
      </c>
      <c r="B147" s="9">
        <f>DEGREES(ATAN((Inputs!$B$13*TANH(Inputs!$B$14*(Inputs!$B$12*A147*1000/(Inputs!$B$20^2)))*Inputs!$B$20^2/Inputs!$B$12)/((Inputs!$B$12*((Inputs!$B$15*(Inputs!$B$12*A147*1000/(Inputs!$B$20^2))^Inputs!$B$16*Inputs!$B$20/Inputs!$B$12))^2/(2*PI())))))</f>
        <v>2.1925518108561057</v>
      </c>
      <c r="C147" s="9">
        <f>DEGREES(ATAN((Inputs!$B$13*TANH(Inputs!$B$14*(Inputs!$B$12*A147*1000/(Inputs!$B$21^2)))*Inputs!$B$21^2/Inputs!$B$12)/((Inputs!$B$12*((Inputs!$B$15*(Inputs!$B$12*A147*1000/(Inputs!$B$21^2))^Inputs!$B$16*Inputs!$B$21/Inputs!$B$12))^2/(2*PI())))))</f>
        <v>3.7611946619178229</v>
      </c>
      <c r="D147" s="9">
        <f>DEGREES(ATAN((Inputs!$B$13*TANH(Inputs!$B$14*(Inputs!$B$12*A147*1000/(Inputs!$B$22^2)))*Inputs!$B$22^2/Inputs!$B$12)/((Inputs!$B$12*((Inputs!$B$15*(Inputs!$B$12*A147*1000/(Inputs!$B$22^2))^Inputs!$B$16*Inputs!$B$22/Inputs!$B$12))^2/(2*PI())))))</f>
        <v>5.5105289043789405</v>
      </c>
      <c r="E147" s="9">
        <f>DEGREES(ATAN((Inputs!$B$13*TANH(Inputs!$B$14*(Inputs!$B$12*A147*1000/(Inputs!$B$23^2)))*Inputs!$B$23^2/Inputs!$B$12)/((Inputs!$B$12*((Inputs!$B$15*(Inputs!$B$12*A147*1000/(Inputs!$B$23^2))^Inputs!$B$16*Inputs!$B$23/Inputs!$B$12))^2/(2*PI())))))</f>
        <v>7.4015612239754685</v>
      </c>
    </row>
    <row r="148" spans="1:5" x14ac:dyDescent="0.25">
      <c r="A148" s="4">
        <v>147</v>
      </c>
      <c r="B148" s="9">
        <f>DEGREES(ATAN((Inputs!$B$13*TANH(Inputs!$B$14*(Inputs!$B$12*A148*1000/(Inputs!$B$20^2)))*Inputs!$B$20^2/Inputs!$B$12)/((Inputs!$B$12*((Inputs!$B$15*(Inputs!$B$12*A148*1000/(Inputs!$B$20^2))^Inputs!$B$16*Inputs!$B$20/Inputs!$B$12))^2/(2*PI())))))</f>
        <v>2.1826066067831351</v>
      </c>
      <c r="C148" s="9">
        <f>DEGREES(ATAN((Inputs!$B$13*TANH(Inputs!$B$14*(Inputs!$B$12*A148*1000/(Inputs!$B$21^2)))*Inputs!$B$21^2/Inputs!$B$12)/((Inputs!$B$12*((Inputs!$B$15*(Inputs!$B$12*A148*1000/(Inputs!$B$21^2))^Inputs!$B$16*Inputs!$B$21/Inputs!$B$12))^2/(2*PI())))))</f>
        <v>3.7441663767631912</v>
      </c>
      <c r="D148" s="9">
        <f>DEGREES(ATAN((Inputs!$B$13*TANH(Inputs!$B$14*(Inputs!$B$12*A148*1000/(Inputs!$B$22^2)))*Inputs!$B$22^2/Inputs!$B$12)/((Inputs!$B$12*((Inputs!$B$15*(Inputs!$B$12*A148*1000/(Inputs!$B$22^2))^Inputs!$B$16*Inputs!$B$22/Inputs!$B$12))^2/(2*PI())))))</f>
        <v>5.4856623849525121</v>
      </c>
      <c r="E148" s="9">
        <f>DEGREES(ATAN((Inputs!$B$13*TANH(Inputs!$B$14*(Inputs!$B$12*A148*1000/(Inputs!$B$23^2)))*Inputs!$B$23^2/Inputs!$B$12)/((Inputs!$B$12*((Inputs!$B$15*(Inputs!$B$12*A148*1000/(Inputs!$B$23^2))^Inputs!$B$16*Inputs!$B$23/Inputs!$B$12))^2/(2*PI())))))</f>
        <v>7.3683260012291329</v>
      </c>
    </row>
    <row r="149" spans="1:5" x14ac:dyDescent="0.25">
      <c r="A149" s="4">
        <v>148</v>
      </c>
      <c r="B149" s="9">
        <f>DEGREES(ATAN((Inputs!$B$13*TANH(Inputs!$B$14*(Inputs!$B$12*A149*1000/(Inputs!$B$20^2)))*Inputs!$B$20^2/Inputs!$B$12)/((Inputs!$B$12*((Inputs!$B$15*(Inputs!$B$12*A149*1000/(Inputs!$B$20^2))^Inputs!$B$16*Inputs!$B$20/Inputs!$B$12))^2/(2*PI())))))</f>
        <v>2.1727733955275403</v>
      </c>
      <c r="C149" s="9">
        <f>DEGREES(ATAN((Inputs!$B$13*TANH(Inputs!$B$14*(Inputs!$B$12*A149*1000/(Inputs!$B$21^2)))*Inputs!$B$21^2/Inputs!$B$12)/((Inputs!$B$12*((Inputs!$B$15*(Inputs!$B$12*A149*1000/(Inputs!$B$21^2))^Inputs!$B$16*Inputs!$B$21/Inputs!$B$12))^2/(2*PI())))))</f>
        <v>3.7273294171734297</v>
      </c>
      <c r="D149" s="9">
        <f>DEGREES(ATAN((Inputs!$B$13*TANH(Inputs!$B$14*(Inputs!$B$12*A149*1000/(Inputs!$B$22^2)))*Inputs!$B$22^2/Inputs!$B$12)/((Inputs!$B$12*((Inputs!$B$15*(Inputs!$B$12*A149*1000/(Inputs!$B$22^2))^Inputs!$B$16*Inputs!$B$22/Inputs!$B$12))^2/(2*PI())))))</f>
        <v>5.4610741723980043</v>
      </c>
      <c r="E149" s="9">
        <f>DEGREES(ATAN((Inputs!$B$13*TANH(Inputs!$B$14*(Inputs!$B$12*A149*1000/(Inputs!$B$23^2)))*Inputs!$B$23^2/Inputs!$B$12)/((Inputs!$B$12*((Inputs!$B$15*(Inputs!$B$12*A149*1000/(Inputs!$B$23^2))^Inputs!$B$16*Inputs!$B$23/Inputs!$B$12))^2/(2*PI())))))</f>
        <v>7.3354605694034598</v>
      </c>
    </row>
    <row r="150" spans="1:5" x14ac:dyDescent="0.25">
      <c r="A150" s="4">
        <v>149</v>
      </c>
      <c r="B150" s="9">
        <f>DEGREES(ATAN((Inputs!$B$13*TANH(Inputs!$B$14*(Inputs!$B$12*A150*1000/(Inputs!$B$20^2)))*Inputs!$B$20^2/Inputs!$B$12)/((Inputs!$B$12*((Inputs!$B$15*(Inputs!$B$12*A150*1000/(Inputs!$B$20^2))^Inputs!$B$16*Inputs!$B$20/Inputs!$B$12))^2/(2*PI())))))</f>
        <v>2.1630501730737457</v>
      </c>
      <c r="C150" s="9">
        <f>DEGREES(ATAN((Inputs!$B$13*TANH(Inputs!$B$14*(Inputs!$B$12*A150*1000/(Inputs!$B$21^2)))*Inputs!$B$21^2/Inputs!$B$12)/((Inputs!$B$12*((Inputs!$B$15*(Inputs!$B$12*A150*1000/(Inputs!$B$21^2))^Inputs!$B$16*Inputs!$B$21/Inputs!$B$12))^2/(2*PI())))))</f>
        <v>3.7106803681026252</v>
      </c>
      <c r="D150" s="9">
        <f>DEGREES(ATAN((Inputs!$B$13*TANH(Inputs!$B$14*(Inputs!$B$12*A150*1000/(Inputs!$B$22^2)))*Inputs!$B$22^2/Inputs!$B$12)/((Inputs!$B$12*((Inputs!$B$15*(Inputs!$B$12*A150*1000/(Inputs!$B$22^2))^Inputs!$B$16*Inputs!$B$22/Inputs!$B$12))^2/(2*PI())))))</f>
        <v>5.436759320665721</v>
      </c>
      <c r="E150" s="9">
        <f>DEGREES(ATAN((Inputs!$B$13*TANH(Inputs!$B$14*(Inputs!$B$12*A150*1000/(Inputs!$B$23^2)))*Inputs!$B$23^2/Inputs!$B$12)/((Inputs!$B$12*((Inputs!$B$15*(Inputs!$B$12*A150*1000/(Inputs!$B$23^2))^Inputs!$B$16*Inputs!$B$23/Inputs!$B$12))^2/(2*PI())))))</f>
        <v>7.3029583995132619</v>
      </c>
    </row>
    <row r="151" spans="1:5" x14ac:dyDescent="0.25">
      <c r="A151" s="4">
        <v>150</v>
      </c>
      <c r="B151" s="9">
        <f>DEGREES(ATAN((Inputs!$B$13*TANH(Inputs!$B$14*(Inputs!$B$12*A151*1000/(Inputs!$B$20^2)))*Inputs!$B$20^2/Inputs!$B$12)/((Inputs!$B$12*((Inputs!$B$15*(Inputs!$B$12*A151*1000/(Inputs!$B$20^2))^Inputs!$B$16*Inputs!$B$20/Inputs!$B$12))^2/(2*PI())))))</f>
        <v>2.1534349843796572</v>
      </c>
      <c r="C151" s="9">
        <f>DEGREES(ATAN((Inputs!$B$13*TANH(Inputs!$B$14*(Inputs!$B$12*A151*1000/(Inputs!$B$21^2)))*Inputs!$B$21^2/Inputs!$B$12)/((Inputs!$B$12*((Inputs!$B$15*(Inputs!$B$12*A151*1000/(Inputs!$B$21^2))^Inputs!$B$16*Inputs!$B$21/Inputs!$B$12))^2/(2*PI())))))</f>
        <v>3.6942158977347717</v>
      </c>
      <c r="D151" s="9">
        <f>DEGREES(ATAN((Inputs!$B$13*TANH(Inputs!$B$14*(Inputs!$B$12*A151*1000/(Inputs!$B$22^2)))*Inputs!$B$22^2/Inputs!$B$12)/((Inputs!$B$12*((Inputs!$B$15*(Inputs!$B$12*A151*1000/(Inputs!$B$22^2))^Inputs!$B$16*Inputs!$B$22/Inputs!$B$12))^2/(2*PI())))))</f>
        <v>5.412713003682792</v>
      </c>
      <c r="E151" s="9">
        <f>DEGREES(ATAN((Inputs!$B$13*TANH(Inputs!$B$14*(Inputs!$B$12*A151*1000/(Inputs!$B$23^2)))*Inputs!$B$23^2/Inputs!$B$12)/((Inputs!$B$12*((Inputs!$B$15*(Inputs!$B$12*A151*1000/(Inputs!$B$23^2))^Inputs!$B$16*Inputs!$B$23/Inputs!$B$12))^2/(2*PI())))))</f>
        <v>7.270813119829028</v>
      </c>
    </row>
    <row r="152" spans="1:5" x14ac:dyDescent="0.25">
      <c r="A152" s="4">
        <v>151</v>
      </c>
      <c r="B152" s="9">
        <f>DEGREES(ATAN((Inputs!$B$13*TANH(Inputs!$B$14*(Inputs!$B$12*A152*1000/(Inputs!$B$20^2)))*Inputs!$B$20^2/Inputs!$B$12)/((Inputs!$B$12*((Inputs!$B$15*(Inputs!$B$12*A152*1000/(Inputs!$B$20^2))^Inputs!$B$16*Inputs!$B$20/Inputs!$B$12))^2/(2*PI())))))</f>
        <v>2.1439259218636755</v>
      </c>
      <c r="C152" s="9">
        <f>DEGREES(ATAN((Inputs!$B$13*TANH(Inputs!$B$14*(Inputs!$B$12*A152*1000/(Inputs!$B$21^2)))*Inputs!$B$21^2/Inputs!$B$12)/((Inputs!$B$12*((Inputs!$B$15*(Inputs!$B$12*A152*1000/(Inputs!$B$21^2))^Inputs!$B$16*Inputs!$B$21/Inputs!$B$12))^2/(2*PI())))))</f>
        <v>3.6779327549199246</v>
      </c>
      <c r="D152" s="9">
        <f>DEGREES(ATAN((Inputs!$B$13*TANH(Inputs!$B$14*(Inputs!$B$12*A152*1000/(Inputs!$B$22^2)))*Inputs!$B$22^2/Inputs!$B$12)/((Inputs!$B$12*((Inputs!$B$15*(Inputs!$B$12*A152*1000/(Inputs!$B$22^2))^Inputs!$B$16*Inputs!$B$22/Inputs!$B$12))^2/(2*PI())))))</f>
        <v>5.3889305116756834</v>
      </c>
      <c r="E152" s="9">
        <f>DEGREES(ATAN((Inputs!$B$13*TANH(Inputs!$B$14*(Inputs!$B$12*A152*1000/(Inputs!$B$23^2)))*Inputs!$B$23^2/Inputs!$B$12)/((Inputs!$B$12*((Inputs!$B$15*(Inputs!$B$12*A152*1000/(Inputs!$B$23^2))^Inputs!$B$16*Inputs!$B$23/Inputs!$B$12))^2/(2*PI())))))</f>
        <v>7.2390185110930521</v>
      </c>
    </row>
    <row r="153" spans="1:5" x14ac:dyDescent="0.25">
      <c r="A153" s="4">
        <v>152</v>
      </c>
      <c r="B153" s="9">
        <f>DEGREES(ATAN((Inputs!$B$13*TANH(Inputs!$B$14*(Inputs!$B$12*A153*1000/(Inputs!$B$20^2)))*Inputs!$B$20^2/Inputs!$B$12)/((Inputs!$B$12*((Inputs!$B$15*(Inputs!$B$12*A153*1000/(Inputs!$B$20^2))^Inputs!$B$16*Inputs!$B$20/Inputs!$B$12))^2/(2*PI())))))</f>
        <v>2.1345211239481294</v>
      </c>
      <c r="C153" s="9">
        <f>DEGREES(ATAN((Inputs!$B$13*TANH(Inputs!$B$14*(Inputs!$B$12*A153*1000/(Inputs!$B$21^2)))*Inputs!$B$21^2/Inputs!$B$12)/((Inputs!$B$12*((Inputs!$B$15*(Inputs!$B$12*A153*1000/(Inputs!$B$21^2))^Inputs!$B$16*Inputs!$B$21/Inputs!$B$12))^2/(2*PI())))))</f>
        <v>3.6618277667055397</v>
      </c>
      <c r="D153" s="9">
        <f>DEGREES(ATAN((Inputs!$B$13*TANH(Inputs!$B$14*(Inputs!$B$12*A153*1000/(Inputs!$B$22^2)))*Inputs!$B$22^2/Inputs!$B$12)/((Inputs!$B$12*((Inputs!$B$15*(Inputs!$B$12*A153*1000/(Inputs!$B$22^2))^Inputs!$B$16*Inputs!$B$22/Inputs!$B$12))^2/(2*PI())))))</f>
        <v>5.3654072476287684</v>
      </c>
      <c r="E153" s="9">
        <f>DEGREES(ATAN((Inputs!$B$13*TANH(Inputs!$B$14*(Inputs!$B$12*A153*1000/(Inputs!$B$23^2)))*Inputs!$B$23^2/Inputs!$B$12)/((Inputs!$B$12*((Inputs!$B$15*(Inputs!$B$12*A153*1000/(Inputs!$B$23^2))^Inputs!$B$16*Inputs!$B$23/Inputs!$B$12))^2/(2*PI())))))</f>
        <v>7.2075685019109814</v>
      </c>
    </row>
    <row r="154" spans="1:5" x14ac:dyDescent="0.25">
      <c r="A154" s="4">
        <v>153</v>
      </c>
      <c r="B154" s="9">
        <f>DEGREES(ATAN((Inputs!$B$13*TANH(Inputs!$B$14*(Inputs!$B$12*A154*1000/(Inputs!$B$20^2)))*Inputs!$B$20^2/Inputs!$B$12)/((Inputs!$B$12*((Inputs!$B$15*(Inputs!$B$12*A154*1000/(Inputs!$B$20^2))^Inputs!$B$16*Inputs!$B$20/Inputs!$B$12))^2/(2*PI())))))</f>
        <v>2.1252187736565915</v>
      </c>
      <c r="C154" s="9">
        <f>DEGREES(ATAN((Inputs!$B$13*TANH(Inputs!$B$14*(Inputs!$B$12*A154*1000/(Inputs!$B$21^2)))*Inputs!$B$21^2/Inputs!$B$12)/((Inputs!$B$12*((Inputs!$B$15*(Inputs!$B$12*A154*1000/(Inputs!$B$21^2))^Inputs!$B$16*Inputs!$B$21/Inputs!$B$12))^2/(2*PI())))))</f>
        <v>3.6458978359589813</v>
      </c>
      <c r="D154" s="9">
        <f>DEGREES(ATAN((Inputs!$B$13*TANH(Inputs!$B$14*(Inputs!$B$12*A154*1000/(Inputs!$B$22^2)))*Inputs!$B$22^2/Inputs!$B$12)/((Inputs!$B$12*((Inputs!$B$15*(Inputs!$B$12*A154*1000/(Inputs!$B$22^2))^Inputs!$B$16*Inputs!$B$22/Inputs!$B$12))^2/(2*PI())))))</f>
        <v>5.3421387238728002</v>
      </c>
      <c r="E154" s="9">
        <f>DEGREES(ATAN((Inputs!$B$13*TANH(Inputs!$B$14*(Inputs!$B$12*A154*1000/(Inputs!$B$23^2)))*Inputs!$B$23^2/Inputs!$B$12)/((Inputs!$B$12*((Inputs!$B$15*(Inputs!$B$12*A154*1000/(Inputs!$B$23^2))^Inputs!$B$16*Inputs!$B$23/Inputs!$B$12))^2/(2*PI())))))</f>
        <v>7.1764571643112225</v>
      </c>
    </row>
    <row r="155" spans="1:5" x14ac:dyDescent="0.25">
      <c r="A155" s="4">
        <v>154</v>
      </c>
      <c r="B155" s="9">
        <f>DEGREES(ATAN((Inputs!$B$13*TANH(Inputs!$B$14*(Inputs!$B$12*A155*1000/(Inputs!$B$20^2)))*Inputs!$B$20^2/Inputs!$B$12)/((Inputs!$B$12*((Inputs!$B$15*(Inputs!$B$12*A155*1000/(Inputs!$B$20^2))^Inputs!$B$16*Inputs!$B$20/Inputs!$B$12))^2/(2*PI())))))</f>
        <v>2.1160170972628172</v>
      </c>
      <c r="C155" s="9">
        <f>DEGREES(ATAN((Inputs!$B$13*TANH(Inputs!$B$14*(Inputs!$B$12*A155*1000/(Inputs!$B$21^2)))*Inputs!$B$21^2/Inputs!$B$12)/((Inputs!$B$12*((Inputs!$B$15*(Inputs!$B$12*A155*1000/(Inputs!$B$21^2))^Inputs!$B$16*Inputs!$B$21/Inputs!$B$12))^2/(2*PI())))))</f>
        <v>3.6301399390772344</v>
      </c>
      <c r="D155" s="9">
        <f>DEGREES(ATAN((Inputs!$B$13*TANH(Inputs!$B$14*(Inputs!$B$12*A155*1000/(Inputs!$B$22^2)))*Inputs!$B$22^2/Inputs!$B$12)/((Inputs!$B$12*((Inputs!$B$15*(Inputs!$B$12*A155*1000/(Inputs!$B$22^2))^Inputs!$B$16*Inputs!$B$22/Inputs!$B$12))^2/(2*PI())))))</f>
        <v>5.319120558797934</v>
      </c>
      <c r="E155" s="9">
        <f>DEGREES(ATAN((Inputs!$B$13*TANH(Inputs!$B$14*(Inputs!$B$12*A155*1000/(Inputs!$B$23^2)))*Inputs!$B$23^2/Inputs!$B$12)/((Inputs!$B$12*((Inputs!$B$15*(Inputs!$B$12*A155*1000/(Inputs!$B$23^2))^Inputs!$B$16*Inputs!$B$23/Inputs!$B$12))^2/(2*PI())))))</f>
        <v>7.1456787094651384</v>
      </c>
    </row>
    <row r="156" spans="1:5" x14ac:dyDescent="0.25">
      <c r="A156" s="4">
        <v>155</v>
      </c>
      <c r="B156" s="9">
        <f>DEGREES(ATAN((Inputs!$B$13*TANH(Inputs!$B$14*(Inputs!$B$12*A156*1000/(Inputs!$B$20^2)))*Inputs!$B$20^2/Inputs!$B$12)/((Inputs!$B$12*((Inputs!$B$15*(Inputs!$B$12*A156*1000/(Inputs!$B$20^2))^Inputs!$B$16*Inputs!$B$20/Inputs!$B$12))^2/(2*PI())))))</f>
        <v>2.1069143629890399</v>
      </c>
      <c r="C156" s="9">
        <f>DEGREES(ATAN((Inputs!$B$13*TANH(Inputs!$B$14*(Inputs!$B$12*A156*1000/(Inputs!$B$21^2)))*Inputs!$B$21^2/Inputs!$B$12)/((Inputs!$B$12*((Inputs!$B$15*(Inputs!$B$12*A156*1000/(Inputs!$B$21^2))^Inputs!$B$16*Inputs!$B$21/Inputs!$B$12))^2/(2*PI())))))</f>
        <v>3.6145511237799632</v>
      </c>
      <c r="D156" s="9">
        <f>DEGREES(ATAN((Inputs!$B$13*TANH(Inputs!$B$14*(Inputs!$B$12*A156*1000/(Inputs!$B$22^2)))*Inputs!$B$22^2/Inputs!$B$12)/((Inputs!$B$12*((Inputs!$B$15*(Inputs!$B$12*A156*1000/(Inputs!$B$22^2))^Inputs!$B$16*Inputs!$B$22/Inputs!$B$12))^2/(2*PI())))))</f>
        <v>5.2963484736858844</v>
      </c>
      <c r="E156" s="9">
        <f>DEGREES(ATAN((Inputs!$B$13*TANH(Inputs!$B$14*(Inputs!$B$12*A156*1000/(Inputs!$B$23^2)))*Inputs!$B$23^2/Inputs!$B$12)/((Inputs!$B$12*((Inputs!$B$15*(Inputs!$B$12*A156*1000/(Inputs!$B$23^2))^Inputs!$B$16*Inputs!$B$23/Inputs!$B$12))^2/(2*PI())))))</f>
        <v>7.1152274835611395</v>
      </c>
    </row>
    <row r="157" spans="1:5" x14ac:dyDescent="0.25">
      <c r="A157" s="4">
        <v>156</v>
      </c>
      <c r="B157" s="9">
        <f>DEGREES(ATAN((Inputs!$B$13*TANH(Inputs!$B$14*(Inputs!$B$12*A157*1000/(Inputs!$B$20^2)))*Inputs!$B$20^2/Inputs!$B$12)/((Inputs!$B$12*((Inputs!$B$15*(Inputs!$B$12*A157*1000/(Inputs!$B$20^2))^Inputs!$B$16*Inputs!$B$20/Inputs!$B$12))^2/(2*PI())))))</f>
        <v>2.0979088797515284</v>
      </c>
      <c r="C157" s="9">
        <f>DEGREES(ATAN((Inputs!$B$13*TANH(Inputs!$B$14*(Inputs!$B$12*A157*1000/(Inputs!$B$21^2)))*Inputs!$B$21^2/Inputs!$B$12)/((Inputs!$B$12*((Inputs!$B$15*(Inputs!$B$12*A157*1000/(Inputs!$B$21^2))^Inputs!$B$16*Inputs!$B$21/Inputs!$B$12))^2/(2*PI())))))</f>
        <v>3.5991285069825829</v>
      </c>
      <c r="D157" s="9">
        <f>DEGREES(ATAN((Inputs!$B$13*TANH(Inputs!$B$14*(Inputs!$B$12*A157*1000/(Inputs!$B$22^2)))*Inputs!$B$22^2/Inputs!$B$12)/((Inputs!$B$12*((Inputs!$B$15*(Inputs!$B$12*A157*1000/(Inputs!$B$22^2))^Inputs!$B$16*Inputs!$B$22/Inputs!$B$12))^2/(2*PI())))))</f>
        <v>5.2738182896561376</v>
      </c>
      <c r="E157" s="9">
        <f>DEGREES(ATAN((Inputs!$B$13*TANH(Inputs!$B$14*(Inputs!$B$12*A157*1000/(Inputs!$B$23^2)))*Inputs!$B$23^2/Inputs!$B$12)/((Inputs!$B$12*((Inputs!$B$15*(Inputs!$B$12*A157*1000/(Inputs!$B$23^2))^Inputs!$B$16*Inputs!$B$23/Inputs!$B$12))^2/(2*PI())))))</f>
        <v>7.0850979638263283</v>
      </c>
    </row>
    <row r="158" spans="1:5" x14ac:dyDescent="0.25">
      <c r="A158" s="4">
        <v>157</v>
      </c>
      <c r="B158" s="9">
        <f>DEGREES(ATAN((Inputs!$B$13*TANH(Inputs!$B$14*(Inputs!$B$12*A158*1000/(Inputs!$B$20^2)))*Inputs!$B$20^2/Inputs!$B$12)/((Inputs!$B$12*((Inputs!$B$15*(Inputs!$B$12*A158*1000/(Inputs!$B$20^2))^Inputs!$B$16*Inputs!$B$20/Inputs!$B$12))^2/(2*PI())))))</f>
        <v>2.0889989959514206</v>
      </c>
      <c r="C158" s="9">
        <f>DEGREES(ATAN((Inputs!$B$13*TANH(Inputs!$B$14*(Inputs!$B$12*A158*1000/(Inputs!$B$21^2)))*Inputs!$B$21^2/Inputs!$B$12)/((Inputs!$B$12*((Inputs!$B$15*(Inputs!$B$12*A158*1000/(Inputs!$B$21^2))^Inputs!$B$16*Inputs!$B$21/Inputs!$B$12))^2/(2*PI())))))</f>
        <v>3.5838692727457984</v>
      </c>
      <c r="D158" s="9">
        <f>DEGREES(ATAN((Inputs!$B$13*TANH(Inputs!$B$14*(Inputs!$B$12*A158*1000/(Inputs!$B$22^2)))*Inputs!$B$22^2/Inputs!$B$12)/((Inputs!$B$12*((Inputs!$B$15*(Inputs!$B$12*A158*1000/(Inputs!$B$22^2))^Inputs!$B$16*Inputs!$B$22/Inputs!$B$12))^2/(2*PI())))))</f>
        <v>5.2515259247215438</v>
      </c>
      <c r="E158" s="9">
        <f>DEGREES(ATAN((Inputs!$B$13*TANH(Inputs!$B$14*(Inputs!$B$12*A158*1000/(Inputs!$B$23^2)))*Inputs!$B$23^2/Inputs!$B$12)/((Inputs!$B$12*((Inputs!$B$15*(Inputs!$B$12*A158*1000/(Inputs!$B$23^2))^Inputs!$B$16*Inputs!$B$23/Inputs!$B$12))^2/(2*PI())))))</f>
        <v>7.0552847546893691</v>
      </c>
    </row>
    <row r="159" spans="1:5" x14ac:dyDescent="0.25">
      <c r="A159" s="4">
        <v>158</v>
      </c>
      <c r="B159" s="9">
        <f>DEGREES(ATAN((Inputs!$B$13*TANH(Inputs!$B$14*(Inputs!$B$12*A159*1000/(Inputs!$B$20^2)))*Inputs!$B$20^2/Inputs!$B$12)/((Inputs!$B$12*((Inputs!$B$15*(Inputs!$B$12*A159*1000/(Inputs!$B$20^2))^Inputs!$B$16*Inputs!$B$20/Inputs!$B$12))^2/(2*PI())))))</f>
        <v>2.0801830983088752</v>
      </c>
      <c r="C159" s="9">
        <f>DEGREES(ATAN((Inputs!$B$13*TANH(Inputs!$B$14*(Inputs!$B$12*A159*1000/(Inputs!$B$21^2)))*Inputs!$B$21^2/Inputs!$B$12)/((Inputs!$B$12*((Inputs!$B$15*(Inputs!$B$12*A159*1000/(Inputs!$B$21^2))^Inputs!$B$16*Inputs!$B$21/Inputs!$B$12))^2/(2*PI())))))</f>
        <v>3.5687706702984165</v>
      </c>
      <c r="D159" s="9">
        <f>DEGREES(ATAN((Inputs!$B$13*TANH(Inputs!$B$14*(Inputs!$B$12*A159*1000/(Inputs!$B$22^2)))*Inputs!$B$22^2/Inputs!$B$12)/((Inputs!$B$12*((Inputs!$B$15*(Inputs!$B$12*A159*1000/(Inputs!$B$22^2))^Inputs!$B$16*Inputs!$B$22/Inputs!$B$12))^2/(2*PI())))))</f>
        <v>5.2294673909485532</v>
      </c>
      <c r="E159" s="9">
        <f>DEGREES(ATAN((Inputs!$B$13*TANH(Inputs!$B$14*(Inputs!$B$12*A159*1000/(Inputs!$B$23^2)))*Inputs!$B$23^2/Inputs!$B$12)/((Inputs!$B$12*((Inputs!$B$15*(Inputs!$B$12*A159*1000/(Inputs!$B$23^2))^Inputs!$B$16*Inputs!$B$23/Inputs!$B$12))^2/(2*PI())))))</f>
        <v>7.025782584078943</v>
      </c>
    </row>
    <row r="160" spans="1:5" x14ac:dyDescent="0.25">
      <c r="A160" s="4">
        <v>159</v>
      </c>
      <c r="B160" s="9">
        <f>DEGREES(ATAN((Inputs!$B$13*TANH(Inputs!$B$14*(Inputs!$B$12*A160*1000/(Inputs!$B$20^2)))*Inputs!$B$20^2/Inputs!$B$12)/((Inputs!$B$12*((Inputs!$B$15*(Inputs!$B$12*A160*1000/(Inputs!$B$20^2))^Inputs!$B$16*Inputs!$B$20/Inputs!$B$12))^2/(2*PI())))))</f>
        <v>2.0714596107387933</v>
      </c>
      <c r="C160" s="9">
        <f>DEGREES(ATAN((Inputs!$B$13*TANH(Inputs!$B$14*(Inputs!$B$12*A160*1000/(Inputs!$B$21^2)))*Inputs!$B$21^2/Inputs!$B$12)/((Inputs!$B$12*((Inputs!$B$15*(Inputs!$B$12*A160*1000/(Inputs!$B$21^2))^Inputs!$B$16*Inputs!$B$21/Inputs!$B$12))^2/(2*PI())))))</f>
        <v>3.5538300121304371</v>
      </c>
      <c r="D160" s="9">
        <f>DEGREES(ATAN((Inputs!$B$13*TANH(Inputs!$B$14*(Inputs!$B$12*A160*1000/(Inputs!$B$22^2)))*Inputs!$B$22^2/Inputs!$B$12)/((Inputs!$B$12*((Inputs!$B$15*(Inputs!$B$12*A160*1000/(Inputs!$B$22^2))^Inputs!$B$16*Inputs!$B$22/Inputs!$B$12))^2/(2*PI())))))</f>
        <v>5.207638791717951</v>
      </c>
      <c r="E160" s="9">
        <f>DEGREES(ATAN((Inputs!$B$13*TANH(Inputs!$B$14*(Inputs!$B$12*A160*1000/(Inputs!$B$23^2)))*Inputs!$B$23^2/Inputs!$B$12)/((Inputs!$B$12*((Inputs!$B$15*(Inputs!$B$12*A160*1000/(Inputs!$B$23^2))^Inputs!$B$16*Inputs!$B$23/Inputs!$B$12))^2/(2*PI())))))</f>
        <v>6.9965862998519155</v>
      </c>
    </row>
    <row r="161" spans="1:5" x14ac:dyDescent="0.25">
      <c r="A161" s="4">
        <v>160</v>
      </c>
      <c r="B161" s="9">
        <f>DEGREES(ATAN((Inputs!$B$13*TANH(Inputs!$B$14*(Inputs!$B$12*A161*1000/(Inputs!$B$20^2)))*Inputs!$B$20^2/Inputs!$B$12)/((Inputs!$B$12*((Inputs!$B$15*(Inputs!$B$12*A161*1000/(Inputs!$B$20^2))^Inputs!$B$16*Inputs!$B$20/Inputs!$B$12))^2/(2*PI())))))</f>
        <v>2.0628269932663024</v>
      </c>
      <c r="C161" s="9">
        <f>DEGREES(ATAN((Inputs!$B$13*TANH(Inputs!$B$14*(Inputs!$B$12*A161*1000/(Inputs!$B$21^2)))*Inputs!$B$21^2/Inputs!$B$12)/((Inputs!$B$12*((Inputs!$B$15*(Inputs!$B$12*A161*1000/(Inputs!$B$21^2))^Inputs!$B$16*Inputs!$B$21/Inputs!$B$12))^2/(2*PI())))))</f>
        <v>3.5390446721534281</v>
      </c>
      <c r="D161" s="9">
        <f>DEGREES(ATAN((Inputs!$B$13*TANH(Inputs!$B$14*(Inputs!$B$12*A161*1000/(Inputs!$B$22^2)))*Inputs!$B$22^2/Inputs!$B$12)/((Inputs!$B$12*((Inputs!$B$15*(Inputs!$B$12*A161*1000/(Inputs!$B$22^2))^Inputs!$B$16*Inputs!$B$22/Inputs!$B$12))^2/(2*PI())))))</f>
        <v>5.1860363190816603</v>
      </c>
      <c r="E161" s="9">
        <f>DEGREES(ATAN((Inputs!$B$13*TANH(Inputs!$B$14*(Inputs!$B$12*A161*1000/(Inputs!$B$23^2)))*Inputs!$B$23^2/Inputs!$B$12)/((Inputs!$B$12*((Inputs!$B$15*(Inputs!$B$12*A161*1000/(Inputs!$B$23^2))^Inputs!$B$16*Inputs!$B$23/Inputs!$B$12))^2/(2*PI())))))</f>
        <v>6.9676908663462305</v>
      </c>
    </row>
    <row r="162" spans="1:5" x14ac:dyDescent="0.25">
      <c r="A162" s="4">
        <v>161</v>
      </c>
      <c r="B162" s="9">
        <f>DEGREES(ATAN((Inputs!$B$13*TANH(Inputs!$B$14*(Inputs!$B$12*A162*1000/(Inputs!$B$20^2)))*Inputs!$B$20^2/Inputs!$B$12)/((Inputs!$B$12*((Inputs!$B$15*(Inputs!$B$12*A162*1000/(Inputs!$B$20^2))^Inputs!$B$16*Inputs!$B$20/Inputs!$B$12))^2/(2*PI())))))</f>
        <v>2.0542837409804329</v>
      </c>
      <c r="C162" s="9">
        <f>DEGREES(ATAN((Inputs!$B$13*TANH(Inputs!$B$14*(Inputs!$B$12*A162*1000/(Inputs!$B$21^2)))*Inputs!$B$21^2/Inputs!$B$12)/((Inputs!$B$12*((Inputs!$B$15*(Inputs!$B$12*A162*1000/(Inputs!$B$21^2))^Inputs!$B$16*Inputs!$B$21/Inputs!$B$12))^2/(2*PI())))))</f>
        <v>3.5244120839254842</v>
      </c>
      <c r="D162" s="9">
        <f>DEGREES(ATAN((Inputs!$B$13*TANH(Inputs!$B$14*(Inputs!$B$12*A162*1000/(Inputs!$B$22^2)))*Inputs!$B$22^2/Inputs!$B$12)/((Inputs!$B$12*((Inputs!$B$15*(Inputs!$B$12*A162*1000/(Inputs!$B$22^2))^Inputs!$B$16*Inputs!$B$22/Inputs!$B$12))^2/(2*PI())))))</f>
        <v>5.1646562512120031</v>
      </c>
      <c r="E162" s="9">
        <f>DEGREES(ATAN((Inputs!$B$13*TANH(Inputs!$B$14*(Inputs!$B$12*A162*1000/(Inputs!$B$23^2)))*Inputs!$B$23^2/Inputs!$B$12)/((Inputs!$B$12*((Inputs!$B$15*(Inputs!$B$12*A162*1000/(Inputs!$B$23^2))^Inputs!$B$16*Inputs!$B$23/Inputs!$B$12))^2/(2*PI())))))</f>
        <v>6.9390913610531362</v>
      </c>
    </row>
    <row r="163" spans="1:5" x14ac:dyDescent="0.25">
      <c r="A163" s="4">
        <v>162</v>
      </c>
      <c r="B163" s="9">
        <f>DEGREES(ATAN((Inputs!$B$13*TANH(Inputs!$B$14*(Inputs!$B$12*A163*1000/(Inputs!$B$20^2)))*Inputs!$B$20^2/Inputs!$B$12)/((Inputs!$B$12*((Inputs!$B$15*(Inputs!$B$12*A163*1000/(Inputs!$B$20^2))^Inputs!$B$16*Inputs!$B$20/Inputs!$B$12))^2/(2*PI())))))</f>
        <v>2.0458283830243622</v>
      </c>
      <c r="C163" s="9">
        <f>DEGREES(ATAN((Inputs!$B$13*TANH(Inputs!$B$14*(Inputs!$B$12*A163*1000/(Inputs!$B$21^2)))*Inputs!$B$21^2/Inputs!$B$12)/((Inputs!$B$12*((Inputs!$B$15*(Inputs!$B$12*A163*1000/(Inputs!$B$21^2))^Inputs!$B$16*Inputs!$B$21/Inputs!$B$12))^2/(2*PI())))))</f>
        <v>3.509929738938018</v>
      </c>
      <c r="D163" s="9">
        <f>DEGREES(ATAN((Inputs!$B$13*TANH(Inputs!$B$14*(Inputs!$B$12*A163*1000/(Inputs!$B$22^2)))*Inputs!$B$22^2/Inputs!$B$12)/((Inputs!$B$12*((Inputs!$B$15*(Inputs!$B$12*A163*1000/(Inputs!$B$22^2))^Inputs!$B$16*Inputs!$B$22/Inputs!$B$12))^2/(2*PI())))))</f>
        <v>5.1434949499393143</v>
      </c>
      <c r="E163" s="9">
        <f>DEGREES(ATAN((Inputs!$B$13*TANH(Inputs!$B$14*(Inputs!$B$12*A163*1000/(Inputs!$B$23^2)))*Inputs!$B$23^2/Inputs!$B$12)/((Inputs!$B$12*((Inputs!$B$15*(Inputs!$B$12*A163*1000/(Inputs!$B$23^2))^Inputs!$B$16*Inputs!$B$23/Inputs!$B$12))^2/(2*PI())))))</f>
        <v>6.9107829714041058</v>
      </c>
    </row>
    <row r="164" spans="1:5" x14ac:dyDescent="0.25">
      <c r="A164" s="4">
        <v>163</v>
      </c>
      <c r="B164" s="9">
        <f>DEGREES(ATAN((Inputs!$B$13*TANH(Inputs!$B$14*(Inputs!$B$12*A164*1000/(Inputs!$B$20^2)))*Inputs!$B$20^2/Inputs!$B$12)/((Inputs!$B$12*((Inputs!$B$15*(Inputs!$B$12*A164*1000/(Inputs!$B$20^2))^Inputs!$B$16*Inputs!$B$20/Inputs!$B$12))^2/(2*PI())))))</f>
        <v>2.037459481620735</v>
      </c>
      <c r="C164" s="9">
        <f>DEGREES(ATAN((Inputs!$B$13*TANH(Inputs!$B$14*(Inputs!$B$12*A164*1000/(Inputs!$B$21^2)))*Inputs!$B$21^2/Inputs!$B$12)/((Inputs!$B$12*((Inputs!$B$15*(Inputs!$B$12*A164*1000/(Inputs!$B$21^2))^Inputs!$B$16*Inputs!$B$21/Inputs!$B$12))^2/(2*PI())))))</f>
        <v>3.4955951849619935</v>
      </c>
      <c r="D164" s="9">
        <f>DEGREES(ATAN((Inputs!$B$13*TANH(Inputs!$B$14*(Inputs!$B$12*A164*1000/(Inputs!$B$22^2)))*Inputs!$B$22^2/Inputs!$B$12)/((Inputs!$B$12*((Inputs!$B$15*(Inputs!$B$12*A164*1000/(Inputs!$B$22^2))^Inputs!$B$16*Inputs!$B$22/Inputs!$B$12))^2/(2*PI())))))</f>
        <v>5.1225488583746204</v>
      </c>
      <c r="E164" s="9">
        <f>DEGREES(ATAN((Inputs!$B$13*TANH(Inputs!$B$14*(Inputs!$B$12*A164*1000/(Inputs!$B$23^2)))*Inputs!$B$23^2/Inputs!$B$12)/((Inputs!$B$12*((Inputs!$B$15*(Inputs!$B$12*A164*1000/(Inputs!$B$23^2))^Inputs!$B$16*Inputs!$B$23/Inputs!$B$12))^2/(2*PI())))))</f>
        <v>6.882760991667797</v>
      </c>
    </row>
    <row r="165" spans="1:5" x14ac:dyDescent="0.25">
      <c r="A165" s="4">
        <v>164</v>
      </c>
      <c r="B165" s="9">
        <f>DEGREES(ATAN((Inputs!$B$13*TANH(Inputs!$B$14*(Inputs!$B$12*A165*1000/(Inputs!$B$20^2)))*Inputs!$B$20^2/Inputs!$B$12)/((Inputs!$B$12*((Inputs!$B$15*(Inputs!$B$12*A165*1000/(Inputs!$B$20^2))^Inputs!$B$16*Inputs!$B$20/Inputs!$B$12))^2/(2*PI())))))</f>
        <v>2.0291756311306939</v>
      </c>
      <c r="C165" s="9">
        <f>DEGREES(ATAN((Inputs!$B$13*TANH(Inputs!$B$14*(Inputs!$B$12*A165*1000/(Inputs!$B$21^2)))*Inputs!$B$21^2/Inputs!$B$12)/((Inputs!$B$12*((Inputs!$B$15*(Inputs!$B$12*A165*1000/(Inputs!$B$21^2))^Inputs!$B$16*Inputs!$B$21/Inputs!$B$12))^2/(2*PI())))))</f>
        <v>3.4814060244510645</v>
      </c>
      <c r="D165" s="9">
        <f>DEGREES(ATAN((Inputs!$B$13*TANH(Inputs!$B$14*(Inputs!$B$12*A165*1000/(Inputs!$B$22^2)))*Inputs!$B$22^2/Inputs!$B$12)/((Inputs!$B$12*((Inputs!$B$15*(Inputs!$B$12*A165*1000/(Inputs!$B$22^2))^Inputs!$B$16*Inputs!$B$22/Inputs!$B$12))^2/(2*PI())))))</f>
        <v>5.1018144986137086</v>
      </c>
      <c r="E165" s="9">
        <f>DEGREES(ATAN((Inputs!$B$13*TANH(Inputs!$B$14*(Inputs!$B$12*A165*1000/(Inputs!$B$23^2)))*Inputs!$B$23^2/Inputs!$B$12)/((Inputs!$B$12*((Inputs!$B$15*(Inputs!$B$12*A165*1000/(Inputs!$B$23^2))^Inputs!$B$16*Inputs!$B$23/Inputs!$B$12))^2/(2*PI())))))</f>
        <v>6.8550208199525811</v>
      </c>
    </row>
    <row r="166" spans="1:5" x14ac:dyDescent="0.25">
      <c r="A166" s="4">
        <v>165</v>
      </c>
      <c r="B166" s="9">
        <f>DEGREES(ATAN((Inputs!$B$13*TANH(Inputs!$B$14*(Inputs!$B$12*A166*1000/(Inputs!$B$20^2)))*Inputs!$B$20^2/Inputs!$B$12)/((Inputs!$B$12*((Inputs!$B$15*(Inputs!$B$12*A166*1000/(Inputs!$B$20^2))^Inputs!$B$16*Inputs!$B$20/Inputs!$B$12))^2/(2*PI())))))</f>
        <v>2.0209754571451573</v>
      </c>
      <c r="C166" s="9">
        <f>DEGREES(ATAN((Inputs!$B$13*TANH(Inputs!$B$14*(Inputs!$B$12*A166*1000/(Inputs!$B$21^2)))*Inputs!$B$21^2/Inputs!$B$12)/((Inputs!$B$12*((Inputs!$B$15*(Inputs!$B$12*A166*1000/(Inputs!$B$21^2))^Inputs!$B$16*Inputs!$B$21/Inputs!$B$12))^2/(2*PI())))))</f>
        <v>3.4673599129994224</v>
      </c>
      <c r="D166" s="9">
        <f>DEGREES(ATAN((Inputs!$B$13*TANH(Inputs!$B$14*(Inputs!$B$12*A166*1000/(Inputs!$B$22^2)))*Inputs!$B$22^2/Inputs!$B$12)/((Inputs!$B$12*((Inputs!$B$15*(Inputs!$B$12*A166*1000/(Inputs!$B$22^2))^Inputs!$B$16*Inputs!$B$22/Inputs!$B$12))^2/(2*PI())))))</f>
        <v>5.0812884695195155</v>
      </c>
      <c r="E166" s="9">
        <f>DEGREES(ATAN((Inputs!$B$13*TANH(Inputs!$B$14*(Inputs!$B$12*A166*1000/(Inputs!$B$23^2)))*Inputs!$B$23^2/Inputs!$B$12)/((Inputs!$B$12*((Inputs!$B$15*(Inputs!$B$12*A166*1000/(Inputs!$B$23^2))^Inputs!$B$16*Inputs!$B$23/Inputs!$B$12))^2/(2*PI())))))</f>
        <v>6.8275579553105432</v>
      </c>
    </row>
    <row r="167" spans="1:5" x14ac:dyDescent="0.25">
      <c r="A167" s="4">
        <v>166</v>
      </c>
      <c r="B167" s="9">
        <f>DEGREES(ATAN((Inputs!$B$13*TANH(Inputs!$B$14*(Inputs!$B$12*A167*1000/(Inputs!$B$20^2)))*Inputs!$B$20^2/Inputs!$B$12)/((Inputs!$B$12*((Inputs!$B$15*(Inputs!$B$12*A167*1000/(Inputs!$B$20^2))^Inputs!$B$16*Inputs!$B$20/Inputs!$B$12))^2/(2*PI())))))</f>
        <v>2.0128576156071416</v>
      </c>
      <c r="C167" s="9">
        <f>DEGREES(ATAN((Inputs!$B$13*TANH(Inputs!$B$14*(Inputs!$B$12*A167*1000/(Inputs!$B$21^2)))*Inputs!$B$21^2/Inputs!$B$12)/((Inputs!$B$12*((Inputs!$B$15*(Inputs!$B$12*A167*1000/(Inputs!$B$21^2))^Inputs!$B$16*Inputs!$B$21/Inputs!$B$12))^2/(2*PI())))))</f>
        <v>3.4534545578521008</v>
      </c>
      <c r="D167" s="9">
        <f>DEGREES(ATAN((Inputs!$B$13*TANH(Inputs!$B$14*(Inputs!$B$12*A167*1000/(Inputs!$B$22^2)))*Inputs!$B$22^2/Inputs!$B$12)/((Inputs!$B$12*((Inputs!$B$15*(Inputs!$B$12*A167*1000/(Inputs!$B$22^2))^Inputs!$B$16*Inputs!$B$22/Inputs!$B$12))^2/(2*PI())))))</f>
        <v>5.0609674445795463</v>
      </c>
      <c r="E167" s="9">
        <f>DEGREES(ATAN((Inputs!$B$13*TANH(Inputs!$B$14*(Inputs!$B$12*A167*1000/(Inputs!$B$23^2)))*Inputs!$B$23^2/Inputs!$B$12)/((Inputs!$B$12*((Inputs!$B$15*(Inputs!$B$12*A167*1000/(Inputs!$B$23^2))^Inputs!$B$16*Inputs!$B$23/Inputs!$B$12))^2/(2*PI())))))</f>
        <v>6.8003679949388633</v>
      </c>
    </row>
    <row r="168" spans="1:5" x14ac:dyDescent="0.25">
      <c r="A168" s="4">
        <v>167</v>
      </c>
      <c r="B168" s="9">
        <f>DEGREES(ATAN((Inputs!$B$13*TANH(Inputs!$B$14*(Inputs!$B$12*A168*1000/(Inputs!$B$20^2)))*Inputs!$B$20^2/Inputs!$B$12)/((Inputs!$B$12*((Inputs!$B$15*(Inputs!$B$12*A168*1000/(Inputs!$B$20^2))^Inputs!$B$16*Inputs!$B$20/Inputs!$B$12))^2/(2*PI())))))</f>
        <v>2.0048207919638581</v>
      </c>
      <c r="C168" s="9">
        <f>DEGREES(ATAN((Inputs!$B$13*TANH(Inputs!$B$14*(Inputs!$B$12*A168*1000/(Inputs!$B$21^2)))*Inputs!$B$21^2/Inputs!$B$12)/((Inputs!$B$12*((Inputs!$B$15*(Inputs!$B$12*A168*1000/(Inputs!$B$21^2))^Inputs!$B$16*Inputs!$B$21/Inputs!$B$12))^2/(2*PI())))))</f>
        <v>3.4396877164657034</v>
      </c>
      <c r="D168" s="9">
        <f>DEGREES(ATAN((Inputs!$B$13*TANH(Inputs!$B$14*(Inputs!$B$12*A168*1000/(Inputs!$B$22^2)))*Inputs!$B$22^2/Inputs!$B$12)/((Inputs!$B$12*((Inputs!$B$15*(Inputs!$B$12*A168*1000/(Inputs!$B$22^2))^Inputs!$B$16*Inputs!$B$22/Inputs!$B$12))^2/(2*PI())))))</f>
        <v>5.0408481698355523</v>
      </c>
      <c r="E168" s="9">
        <f>DEGREES(ATAN((Inputs!$B$13*TANH(Inputs!$B$14*(Inputs!$B$12*A168*1000/(Inputs!$B$23^2)))*Inputs!$B$23^2/Inputs!$B$12)/((Inputs!$B$12*((Inputs!$B$15*(Inputs!$B$12*A168*1000/(Inputs!$B$23^2))^Inputs!$B$16*Inputs!$B$23/Inputs!$B$12))^2/(2*PI())))))</f>
        <v>6.7734466314747754</v>
      </c>
    </row>
    <row r="169" spans="1:5" x14ac:dyDescent="0.25">
      <c r="A169" s="4">
        <v>168</v>
      </c>
      <c r="B169" s="9">
        <f>DEGREES(ATAN((Inputs!$B$13*TANH(Inputs!$B$14*(Inputs!$B$12*A169*1000/(Inputs!$B$20^2)))*Inputs!$B$20^2/Inputs!$B$12)/((Inputs!$B$12*((Inputs!$B$15*(Inputs!$B$12*A169*1000/(Inputs!$B$20^2))^Inputs!$B$16*Inputs!$B$20/Inputs!$B$12))^2/(2*PI())))))</f>
        <v>1.9968637003473693</v>
      </c>
      <c r="C169" s="9">
        <f>DEGREES(ATAN((Inputs!$B$13*TANH(Inputs!$B$14*(Inputs!$B$12*A169*1000/(Inputs!$B$21^2)))*Inputs!$B$21^2/Inputs!$B$12)/((Inputs!$B$12*((Inputs!$B$15*(Inputs!$B$12*A169*1000/(Inputs!$B$21^2))^Inputs!$B$16*Inputs!$B$21/Inputs!$B$12))^2/(2*PI())))))</f>
        <v>3.4260571951175161</v>
      </c>
      <c r="D169" s="9">
        <f>DEGREES(ATAN((Inputs!$B$13*TANH(Inputs!$B$14*(Inputs!$B$12*A169*1000/(Inputs!$B$22^2)))*Inputs!$B$22^2/Inputs!$B$12)/((Inputs!$B$12*((Inputs!$B$15*(Inputs!$B$12*A169*1000/(Inputs!$B$22^2))^Inputs!$B$16*Inputs!$B$22/Inputs!$B$12))^2/(2*PI())))))</f>
        <v>5.0209274618824109</v>
      </c>
      <c r="E169" s="9">
        <f>DEGREES(ATAN((Inputs!$B$13*TANH(Inputs!$B$14*(Inputs!$B$12*A169*1000/(Inputs!$B$23^2)))*Inputs!$B$23^2/Inputs!$B$12)/((Inputs!$B$12*((Inputs!$B$15*(Inputs!$B$12*A169*1000/(Inputs!$B$23^2))^Inputs!$B$16*Inputs!$B$23/Inputs!$B$12))^2/(2*PI())))))</f>
        <v>6.7467896503804647</v>
      </c>
    </row>
    <row r="170" spans="1:5" x14ac:dyDescent="0.25">
      <c r="A170" s="4">
        <v>169</v>
      </c>
      <c r="B170" s="9">
        <f>DEGREES(ATAN((Inputs!$B$13*TANH(Inputs!$B$14*(Inputs!$B$12*A170*1000/(Inputs!$B$20^2)))*Inputs!$B$20^2/Inputs!$B$12)/((Inputs!$B$12*((Inputs!$B$15*(Inputs!$B$12*A170*1000/(Inputs!$B$20^2))^Inputs!$B$16*Inputs!$B$20/Inputs!$B$12))^2/(2*PI())))))</f>
        <v>1.9889850827827369</v>
      </c>
      <c r="C170" s="9">
        <f>DEGREES(ATAN((Inputs!$B$13*TANH(Inputs!$B$14*(Inputs!$B$12*A170*1000/(Inputs!$B$21^2)))*Inputs!$B$21^2/Inputs!$B$12)/((Inputs!$B$12*((Inputs!$B$15*(Inputs!$B$12*A170*1000/(Inputs!$B$21^2))^Inputs!$B$16*Inputs!$B$21/Inputs!$B$12))^2/(2*PI())))))</f>
        <v>3.4125608475611147</v>
      </c>
      <c r="D170" s="9">
        <f>DEGREES(ATAN((Inputs!$B$13*TANH(Inputs!$B$14*(Inputs!$B$12*A170*1000/(Inputs!$B$22^2)))*Inputs!$B$22^2/Inputs!$B$12)/((Inputs!$B$12*((Inputs!$B$15*(Inputs!$B$12*A170*1000/(Inputs!$B$22^2))^Inputs!$B$16*Inputs!$B$22/Inputs!$B$12))^2/(2*PI())))))</f>
        <v>5.0012022059336312</v>
      </c>
      <c r="E170" s="9">
        <f>DEGREES(ATAN((Inputs!$B$13*TANH(Inputs!$B$14*(Inputs!$B$12*A170*1000/(Inputs!$B$23^2)))*Inputs!$B$23^2/Inputs!$B$12)/((Inputs!$B$12*((Inputs!$B$15*(Inputs!$B$12*A170*1000/(Inputs!$B$23^2))^Inputs!$B$16*Inputs!$B$23/Inputs!$B$12))^2/(2*PI())))))</f>
        <v>6.7203929274143892</v>
      </c>
    </row>
    <row r="171" spans="1:5" x14ac:dyDescent="0.25">
      <c r="A171" s="4">
        <v>170</v>
      </c>
      <c r="B171" s="9">
        <f>DEGREES(ATAN((Inputs!$B$13*TANH(Inputs!$B$14*(Inputs!$B$12*A171*1000/(Inputs!$B$20^2)))*Inputs!$B$20^2/Inputs!$B$12)/((Inputs!$B$12*((Inputs!$B$15*(Inputs!$B$12*A171*1000/(Inputs!$B$20^2))^Inputs!$B$16*Inputs!$B$20/Inputs!$B$12))^2/(2*PI())))))</f>
        <v>1.9811837084225536</v>
      </c>
      <c r="C171" s="9">
        <f>DEGREES(ATAN((Inputs!$B$13*TANH(Inputs!$B$14*(Inputs!$B$12*A171*1000/(Inputs!$B$21^2)))*Inputs!$B$21^2/Inputs!$B$12)/((Inputs!$B$12*((Inputs!$B$15*(Inputs!$B$12*A171*1000/(Inputs!$B$21^2))^Inputs!$B$16*Inputs!$B$21/Inputs!$B$12))^2/(2*PI())))))</f>
        <v>3.399196573726655</v>
      </c>
      <c r="D171" s="9">
        <f>DEGREES(ATAN((Inputs!$B$13*TANH(Inputs!$B$14*(Inputs!$B$12*A171*1000/(Inputs!$B$22^2)))*Inputs!$B$22^2/Inputs!$B$12)/((Inputs!$B$12*((Inputs!$B$15*(Inputs!$B$12*A171*1000/(Inputs!$B$22^2))^Inputs!$B$16*Inputs!$B$22/Inputs!$B$12))^2/(2*PI())))))</f>
        <v>4.9816693539509149</v>
      </c>
      <c r="E171" s="9">
        <f>DEGREES(ATAN((Inputs!$B$13*TANH(Inputs!$B$14*(Inputs!$B$12*A171*1000/(Inputs!$B$23^2)))*Inputs!$B$23^2/Inputs!$B$12)/((Inputs!$B$12*((Inputs!$B$15*(Inputs!$B$12*A171*1000/(Inputs!$B$23^2))^Inputs!$B$16*Inputs!$B$23/Inputs!$B$12))^2/(2*PI())))))</f>
        <v>6.6942524261856642</v>
      </c>
    </row>
    <row r="172" spans="1:5" x14ac:dyDescent="0.25">
      <c r="A172" s="4">
        <v>171</v>
      </c>
      <c r="B172" s="9">
        <f>DEGREES(ATAN((Inputs!$B$13*TANH(Inputs!$B$14*(Inputs!$B$12*A172*1000/(Inputs!$B$20^2)))*Inputs!$B$20^2/Inputs!$B$12)/((Inputs!$B$12*((Inputs!$B$15*(Inputs!$B$12*A172*1000/(Inputs!$B$20^2))^Inputs!$B$16*Inputs!$B$20/Inputs!$B$12))^2/(2*PI())))))</f>
        <v>1.973458372806798</v>
      </c>
      <c r="C172" s="9">
        <f>DEGREES(ATAN((Inputs!$B$13*TANH(Inputs!$B$14*(Inputs!$B$12*A172*1000/(Inputs!$B$21^2)))*Inputs!$B$21^2/Inputs!$B$12)/((Inputs!$B$12*((Inputs!$B$15*(Inputs!$B$12*A172*1000/(Inputs!$B$21^2))^Inputs!$B$16*Inputs!$B$21/Inputs!$B$12))^2/(2*PI())))))</f>
        <v>3.385962318464109</v>
      </c>
      <c r="D172" s="9">
        <f>DEGREES(ATAN((Inputs!$B$13*TANH(Inputs!$B$14*(Inputs!$B$12*A172*1000/(Inputs!$B$22^2)))*Inputs!$B$22^2/Inputs!$B$12)/((Inputs!$B$12*((Inputs!$B$15*(Inputs!$B$12*A172*1000/(Inputs!$B$22^2))^Inputs!$B$16*Inputs!$B$22/Inputs!$B$12))^2/(2*PI())))))</f>
        <v>4.9623259228351424</v>
      </c>
      <c r="E172" s="9">
        <f>DEGREES(ATAN((Inputs!$B$13*TANH(Inputs!$B$14*(Inputs!$B$12*A172*1000/(Inputs!$B$23^2)))*Inputs!$B$23^2/Inputs!$B$12)/((Inputs!$B$12*((Inputs!$B$15*(Inputs!$B$12*A172*1000/(Inputs!$B$23^2))^Inputs!$B$16*Inputs!$B$23/Inputs!$B$12))^2/(2*PI())))))</f>
        <v>6.6683641957884108</v>
      </c>
    </row>
    <row r="173" spans="1:5" x14ac:dyDescent="0.25">
      <c r="A173" s="4">
        <v>172</v>
      </c>
      <c r="B173" s="9">
        <f>DEGREES(ATAN((Inputs!$B$13*TANH(Inputs!$B$14*(Inputs!$B$12*A173*1000/(Inputs!$B$20^2)))*Inputs!$B$20^2/Inputs!$B$12)/((Inputs!$B$12*((Inputs!$B$15*(Inputs!$B$12*A173*1000/(Inputs!$B$20^2))^Inputs!$B$16*Inputs!$B$20/Inputs!$B$12))^2/(2*PI())))))</f>
        <v>1.9658078971471171</v>
      </c>
      <c r="C173" s="9">
        <f>DEGREES(ATAN((Inputs!$B$13*TANH(Inputs!$B$14*(Inputs!$B$12*A173*1000/(Inputs!$B$21^2)))*Inputs!$B$21^2/Inputs!$B$12)/((Inputs!$B$12*((Inputs!$B$15*(Inputs!$B$12*A173*1000/(Inputs!$B$21^2))^Inputs!$B$16*Inputs!$B$21/Inputs!$B$12))^2/(2*PI())))))</f>
        <v>3.3728560703277934</v>
      </c>
      <c r="D173" s="9">
        <f>DEGREES(ATAN((Inputs!$B$13*TANH(Inputs!$B$14*(Inputs!$B$12*A173*1000/(Inputs!$B$22^2)))*Inputs!$B$22^2/Inputs!$B$12)/((Inputs!$B$12*((Inputs!$B$15*(Inputs!$B$12*A173*1000/(Inputs!$B$22^2))^Inputs!$B$16*Inputs!$B$22/Inputs!$B$12))^2/(2*PI())))))</f>
        <v>4.9431689926766085</v>
      </c>
      <c r="E173" s="9">
        <f>DEGREES(ATAN((Inputs!$B$13*TANH(Inputs!$B$14*(Inputs!$B$12*A173*1000/(Inputs!$B$23^2)))*Inputs!$B$23^2/Inputs!$B$12)/((Inputs!$B$12*((Inputs!$B$15*(Inputs!$B$12*A173*1000/(Inputs!$B$23^2))^Inputs!$B$16*Inputs!$B$23/Inputs!$B$12))^2/(2*PI())))))</f>
        <v>6.6427243685128943</v>
      </c>
    </row>
    <row r="174" spans="1:5" x14ac:dyDescent="0.25">
      <c r="A174" s="4">
        <v>173</v>
      </c>
      <c r="B174" s="9">
        <f>DEGREES(ATAN((Inputs!$B$13*TANH(Inputs!$B$14*(Inputs!$B$12*A174*1000/(Inputs!$B$20^2)))*Inputs!$B$20^2/Inputs!$B$12)/((Inputs!$B$12*((Inputs!$B$15*(Inputs!$B$12*A174*1000/(Inputs!$B$20^2))^Inputs!$B$16*Inputs!$B$20/Inputs!$B$12))^2/(2*PI())))))</f>
        <v>1.9582311276344999</v>
      </c>
      <c r="C174" s="9">
        <f>DEGREES(ATAN((Inputs!$B$13*TANH(Inputs!$B$14*(Inputs!$B$12*A174*1000/(Inputs!$B$21^2)))*Inputs!$B$21^2/Inputs!$B$12)/((Inputs!$B$12*((Inputs!$B$15*(Inputs!$B$12*A174*1000/(Inputs!$B$21^2))^Inputs!$B$16*Inputs!$B$21/Inputs!$B$12))^2/(2*PI())))))</f>
        <v>3.3598758604006029</v>
      </c>
      <c r="D174" s="9">
        <f>DEGREES(ATAN((Inputs!$B$13*TANH(Inputs!$B$14*(Inputs!$B$12*A174*1000/(Inputs!$B$22^2)))*Inputs!$B$22^2/Inputs!$B$12)/((Inputs!$B$12*((Inputs!$B$15*(Inputs!$B$12*A174*1000/(Inputs!$B$22^2))^Inputs!$B$16*Inputs!$B$22/Inputs!$B$12))^2/(2*PI())))))</f>
        <v>4.9241957050621004</v>
      </c>
      <c r="E174" s="9">
        <f>DEGREES(ATAN((Inputs!$B$13*TANH(Inputs!$B$14*(Inputs!$B$12*A174*1000/(Inputs!$B$23^2)))*Inputs!$B$23^2/Inputs!$B$12)/((Inputs!$B$12*((Inputs!$B$15*(Inputs!$B$12*A174*1000/(Inputs!$B$23^2))^Inputs!$B$16*Inputs!$B$23/Inputs!$B$12))^2/(2*PI())))))</f>
        <v>6.617329157630615</v>
      </c>
    </row>
    <row r="175" spans="1:5" x14ac:dyDescent="0.25">
      <c r="A175" s="4">
        <v>174</v>
      </c>
      <c r="B175" s="9">
        <f>DEGREES(ATAN((Inputs!$B$13*TANH(Inputs!$B$14*(Inputs!$B$12*A175*1000/(Inputs!$B$20^2)))*Inputs!$B$20^2/Inputs!$B$12)/((Inputs!$B$12*((Inputs!$B$15*(Inputs!$B$12*A175*1000/(Inputs!$B$20^2))^Inputs!$B$16*Inputs!$B$20/Inputs!$B$12))^2/(2*PI())))))</f>
        <v>1.9507269347695366</v>
      </c>
      <c r="C175" s="9">
        <f>DEGREES(ATAN((Inputs!$B$13*TANH(Inputs!$B$14*(Inputs!$B$12*A175*1000/(Inputs!$B$21^2)))*Inputs!$B$21^2/Inputs!$B$12)/((Inputs!$B$12*((Inputs!$B$15*(Inputs!$B$12*A175*1000/(Inputs!$B$21^2))^Inputs!$B$16*Inputs!$B$21/Inputs!$B$12))^2/(2*PI())))))</f>
        <v>3.3470197611563801</v>
      </c>
      <c r="D175" s="9">
        <f>DEGREES(ATAN((Inputs!$B$13*TANH(Inputs!$B$14*(Inputs!$B$12*A175*1000/(Inputs!$B$22^2)))*Inputs!$B$22^2/Inputs!$B$12)/((Inputs!$B$12*((Inputs!$B$15*(Inputs!$B$12*A175*1000/(Inputs!$B$22^2))^Inputs!$B$16*Inputs!$B$22/Inputs!$B$12))^2/(2*PI())))))</f>
        <v>4.9054032614367546</v>
      </c>
      <c r="E175" s="9">
        <f>DEGREES(ATAN((Inputs!$B$13*TANH(Inputs!$B$14*(Inputs!$B$12*A175*1000/(Inputs!$B$23^2)))*Inputs!$B$23^2/Inputs!$B$12)/((Inputs!$B$12*((Inputs!$B$15*(Inputs!$B$12*A175*1000/(Inputs!$B$23^2))^Inputs!$B$16*Inputs!$B$23/Inputs!$B$12))^2/(2*PI())))))</f>
        <v>6.5921748552505299</v>
      </c>
    </row>
    <row r="176" spans="1:5" x14ac:dyDescent="0.25">
      <c r="A176" s="4">
        <v>175</v>
      </c>
      <c r="B176" s="9">
        <f>DEGREES(ATAN((Inputs!$B$13*TANH(Inputs!$B$14*(Inputs!$B$12*A176*1000/(Inputs!$B$20^2)))*Inputs!$B$20^2/Inputs!$B$12)/((Inputs!$B$12*((Inputs!$B$15*(Inputs!$B$12*A176*1000/(Inputs!$B$20^2))^Inputs!$B$16*Inputs!$B$20/Inputs!$B$12))^2/(2*PI())))))</f>
        <v>1.9432942127142907</v>
      </c>
      <c r="C176" s="9">
        <f>DEGREES(ATAN((Inputs!$B$13*TANH(Inputs!$B$14*(Inputs!$B$12*A176*1000/(Inputs!$B$21^2)))*Inputs!$B$21^2/Inputs!$B$12)/((Inputs!$B$12*((Inputs!$B$15*(Inputs!$B$12*A176*1000/(Inputs!$B$21^2))^Inputs!$B$16*Inputs!$B$21/Inputs!$B$12))^2/(2*PI())))))</f>
        <v>3.3342858853590589</v>
      </c>
      <c r="D176" s="9">
        <f>DEGREES(ATAN((Inputs!$B$13*TANH(Inputs!$B$14*(Inputs!$B$12*A176*1000/(Inputs!$B$22^2)))*Inputs!$B$22^2/Inputs!$B$12)/((Inputs!$B$12*((Inputs!$B$15*(Inputs!$B$12*A176*1000/(Inputs!$B$22^2))^Inputs!$B$16*Inputs!$B$22/Inputs!$B$12))^2/(2*PI())))))</f>
        <v>4.886788921518507</v>
      </c>
      <c r="E176" s="9">
        <f>DEGREES(ATAN((Inputs!$B$13*TANH(Inputs!$B$14*(Inputs!$B$12*A176*1000/(Inputs!$B$23^2)))*Inputs!$B$23^2/Inputs!$B$12)/((Inputs!$B$12*((Inputs!$B$15*(Inputs!$B$12*A176*1000/(Inputs!$B$23^2))^Inputs!$B$16*Inputs!$B$23/Inputs!$B$12))^2/(2*PI())))))</f>
        <v>6.5672578302437525</v>
      </c>
    </row>
    <row r="177" spans="1:5" x14ac:dyDescent="0.25">
      <c r="A177" s="4">
        <v>176</v>
      </c>
      <c r="B177" s="9">
        <f>DEGREES(ATAN((Inputs!$B$13*TANH(Inputs!$B$14*(Inputs!$B$12*A177*1000/(Inputs!$B$20^2)))*Inputs!$B$20^2/Inputs!$B$12)/((Inputs!$B$12*((Inputs!$B$15*(Inputs!$B$12*A177*1000/(Inputs!$B$20^2))^Inputs!$B$16*Inputs!$B$20/Inputs!$B$12))^2/(2*PI())))))</f>
        <v>1.9359318786651103</v>
      </c>
      <c r="C177" s="9">
        <f>DEGREES(ATAN((Inputs!$B$13*TANH(Inputs!$B$14*(Inputs!$B$12*A177*1000/(Inputs!$B$21^2)))*Inputs!$B$21^2/Inputs!$B$12)/((Inputs!$B$12*((Inputs!$B$15*(Inputs!$B$12*A177*1000/(Inputs!$B$21^2))^Inputs!$B$16*Inputs!$B$21/Inputs!$B$12))^2/(2*PI())))))</f>
        <v>3.3216723849971785</v>
      </c>
      <c r="D177" s="9">
        <f>DEGREES(ATAN((Inputs!$B$13*TANH(Inputs!$B$14*(Inputs!$B$12*A177*1000/(Inputs!$B$22^2)))*Inputs!$B$22^2/Inputs!$B$12)/((Inputs!$B$12*((Inputs!$B$15*(Inputs!$B$12*A177*1000/(Inputs!$B$22^2))^Inputs!$B$16*Inputs!$B$22/Inputs!$B$12))^2/(2*PI())))))</f>
        <v>4.8683500017633312</v>
      </c>
      <c r="E177" s="9">
        <f>DEGREES(ATAN((Inputs!$B$13*TANH(Inputs!$B$14*(Inputs!$B$12*A177*1000/(Inputs!$B$23^2)))*Inputs!$B$23^2/Inputs!$B$12)/((Inputs!$B$12*((Inputs!$B$15*(Inputs!$B$12*A177*1000/(Inputs!$B$23^2))^Inputs!$B$16*Inputs!$B$23/Inputs!$B$12))^2/(2*PI())))))</f>
        <v>6.5425745262341808</v>
      </c>
    </row>
    <row r="178" spans="1:5" x14ac:dyDescent="0.25">
      <c r="A178" s="4">
        <v>177</v>
      </c>
      <c r="B178" s="9">
        <f>DEGREES(ATAN((Inputs!$B$13*TANH(Inputs!$B$14*(Inputs!$B$12*A178*1000/(Inputs!$B$20^2)))*Inputs!$B$20^2/Inputs!$B$12)/((Inputs!$B$12*((Inputs!$B$15*(Inputs!$B$12*A178*1000/(Inputs!$B$20^2))^Inputs!$B$16*Inputs!$B$20/Inputs!$B$12))^2/(2*PI())))))</f>
        <v>1.9286388722454493</v>
      </c>
      <c r="C178" s="9">
        <f>DEGREES(ATAN((Inputs!$B$13*TANH(Inputs!$B$14*(Inputs!$B$12*A178*1000/(Inputs!$B$21^2)))*Inputs!$B$21^2/Inputs!$B$12)/((Inputs!$B$12*((Inputs!$B$15*(Inputs!$B$12*A178*1000/(Inputs!$B$21^2))^Inputs!$B$16*Inputs!$B$21/Inputs!$B$12))^2/(2*PI())))))</f>
        <v>3.3091774502523346</v>
      </c>
      <c r="D178" s="9">
        <f>DEGREES(ATAN((Inputs!$B$13*TANH(Inputs!$B$14*(Inputs!$B$12*A178*1000/(Inputs!$B$22^2)))*Inputs!$B$22^2/Inputs!$B$12)/((Inputs!$B$12*((Inputs!$B$15*(Inputs!$B$12*A178*1000/(Inputs!$B$22^2))^Inputs!$B$16*Inputs!$B$22/Inputs!$B$12))^2/(2*PI())))))</f>
        <v>4.8500838738791741</v>
      </c>
      <c r="E178" s="9">
        <f>DEGREES(ATAN((Inputs!$B$13*TANH(Inputs!$B$14*(Inputs!$B$12*A178*1000/(Inputs!$B$23^2)))*Inputs!$B$23^2/Inputs!$B$12)/((Inputs!$B$12*((Inputs!$B$15*(Inputs!$B$12*A178*1000/(Inputs!$B$23^2))^Inputs!$B$16*Inputs!$B$23/Inputs!$B$12))^2/(2*PI())))))</f>
        <v>6.5181214596525372</v>
      </c>
    </row>
    <row r="179" spans="1:5" x14ac:dyDescent="0.25">
      <c r="A179" s="4">
        <v>178</v>
      </c>
      <c r="B179" s="9">
        <f>DEGREES(ATAN((Inputs!$B$13*TANH(Inputs!$B$14*(Inputs!$B$12*A179*1000/(Inputs!$B$20^2)))*Inputs!$B$20^2/Inputs!$B$12)/((Inputs!$B$12*((Inputs!$B$15*(Inputs!$B$12*A179*1000/(Inputs!$B$20^2))^Inputs!$B$16*Inputs!$B$20/Inputs!$B$12))^2/(2*PI())))))</f>
        <v>1.921414154918045</v>
      </c>
      <c r="C179" s="9">
        <f>DEGREES(ATAN((Inputs!$B$13*TANH(Inputs!$B$14*(Inputs!$B$12*A179*1000/(Inputs!$B$21^2)))*Inputs!$B$21^2/Inputs!$B$12)/((Inputs!$B$12*((Inputs!$B$15*(Inputs!$B$12*A179*1000/(Inputs!$B$21^2))^Inputs!$B$16*Inputs!$B$21/Inputs!$B$12))^2/(2*PI())))))</f>
        <v>3.2967993085004421</v>
      </c>
      <c r="D179" s="9">
        <f>DEGREES(ATAN((Inputs!$B$13*TANH(Inputs!$B$14*(Inputs!$B$12*A179*1000/(Inputs!$B$22^2)))*Inputs!$B$22^2/Inputs!$B$12)/((Inputs!$B$12*((Inputs!$B$15*(Inputs!$B$12*A179*1000/(Inputs!$B$22^2))^Inputs!$B$16*Inputs!$B$22/Inputs!$B$12))^2/(2*PI())))))</f>
        <v>4.8319879633869309</v>
      </c>
      <c r="E179" s="9">
        <f>DEGREES(ATAN((Inputs!$B$13*TANH(Inputs!$B$14*(Inputs!$B$12*A179*1000/(Inputs!$B$23^2)))*Inputs!$B$23^2/Inputs!$B$12)/((Inputs!$B$12*((Inputs!$B$15*(Inputs!$B$12*A179*1000/(Inputs!$B$23^2))^Inputs!$B$16*Inputs!$B$23/Inputs!$B$12))^2/(2*PI())))))</f>
        <v>6.4938952178515796</v>
      </c>
    </row>
    <row r="180" spans="1:5" x14ac:dyDescent="0.25">
      <c r="A180" s="4">
        <v>179</v>
      </c>
      <c r="B180" s="9">
        <f>DEGREES(ATAN((Inputs!$B$13*TANH(Inputs!$B$14*(Inputs!$B$12*A180*1000/(Inputs!$B$20^2)))*Inputs!$B$20^2/Inputs!$B$12)/((Inputs!$B$12*((Inputs!$B$15*(Inputs!$B$12*A180*1000/(Inputs!$B$20^2))^Inputs!$B$16*Inputs!$B$20/Inputs!$B$12))^2/(2*PI())))))</f>
        <v>1.914256709415693</v>
      </c>
      <c r="C180" s="9">
        <f>DEGREES(ATAN((Inputs!$B$13*TANH(Inputs!$B$14*(Inputs!$B$12*A180*1000/(Inputs!$B$21^2)))*Inputs!$B$21^2/Inputs!$B$12)/((Inputs!$B$12*((Inputs!$B$15*(Inputs!$B$12*A180*1000/(Inputs!$B$21^2))^Inputs!$B$16*Inputs!$B$21/Inputs!$B$12))^2/(2*PI())))))</f>
        <v>3.2845362233445257</v>
      </c>
      <c r="D180" s="9">
        <f>DEGREES(ATAN((Inputs!$B$13*TANH(Inputs!$B$14*(Inputs!$B$12*A180*1000/(Inputs!$B$22^2)))*Inputs!$B$22^2/Inputs!$B$12)/((Inputs!$B$12*((Inputs!$B$15*(Inputs!$B$12*A180*1000/(Inputs!$B$22^2))^Inputs!$B$16*Inputs!$B$22/Inputs!$B$12))^2/(2*PI())))))</f>
        <v>4.8140597482265841</v>
      </c>
      <c r="E180" s="9">
        <f>DEGREES(ATAN((Inputs!$B$13*TANH(Inputs!$B$14*(Inputs!$B$12*A180*1000/(Inputs!$B$23^2)))*Inputs!$B$23^2/Inputs!$B$12)/((Inputs!$B$12*((Inputs!$B$15*(Inputs!$B$12*A180*1000/(Inputs!$B$23^2))^Inputs!$B$16*Inputs!$B$23/Inputs!$B$12))^2/(2*PI())))))</f>
        <v>6.4698924572801708</v>
      </c>
    </row>
    <row r="181" spans="1:5" x14ac:dyDescent="0.25">
      <c r="A181" s="4">
        <v>180</v>
      </c>
      <c r="B181" s="9">
        <f>DEGREES(ATAN((Inputs!$B$13*TANH(Inputs!$B$14*(Inputs!$B$12*A181*1000/(Inputs!$B$20^2)))*Inputs!$B$20^2/Inputs!$B$12)/((Inputs!$B$12*((Inputs!$B$15*(Inputs!$B$12*A181*1000/(Inputs!$B$20^2))^Inputs!$B$16*Inputs!$B$20/Inputs!$B$12))^2/(2*PI())))))</f>
        <v>1.907165539189926</v>
      </c>
      <c r="C181" s="9">
        <f>DEGREES(ATAN((Inputs!$B$13*TANH(Inputs!$B$14*(Inputs!$B$12*A181*1000/(Inputs!$B$21^2)))*Inputs!$B$21^2/Inputs!$B$12)/((Inputs!$B$12*((Inputs!$B$15*(Inputs!$B$12*A181*1000/(Inputs!$B$21^2))^Inputs!$B$16*Inputs!$B$21/Inputs!$B$12))^2/(2*PI())))))</f>
        <v>3.2723864936778351</v>
      </c>
      <c r="D181" s="9">
        <f>DEGREES(ATAN((Inputs!$B$13*TANH(Inputs!$B$14*(Inputs!$B$12*A181*1000/(Inputs!$B$22^2)))*Inputs!$B$22^2/Inputs!$B$12)/((Inputs!$B$12*((Inputs!$B$15*(Inputs!$B$12*A181*1000/(Inputs!$B$22^2))^Inputs!$B$16*Inputs!$B$22/Inputs!$B$12))^2/(2*PI())))))</f>
        <v>4.7962967574070436</v>
      </c>
      <c r="E181" s="9">
        <f>DEGREES(ATAN((Inputs!$B$13*TANH(Inputs!$B$14*(Inputs!$B$12*A181*1000/(Inputs!$B$23^2)))*Inputs!$B$23^2/Inputs!$B$12)/((Inputs!$B$12*((Inputs!$B$15*(Inputs!$B$12*A181*1000/(Inputs!$B$23^2))^Inputs!$B$16*Inputs!$B$23/Inputs!$B$12))^2/(2*PI())))))</f>
        <v>6.4461099017140651</v>
      </c>
    </row>
    <row r="182" spans="1:5" x14ac:dyDescent="0.25">
      <c r="A182" s="4">
        <v>181</v>
      </c>
      <c r="B182" s="9">
        <f>DEGREES(ATAN((Inputs!$B$13*TANH(Inputs!$B$14*(Inputs!$B$12*A182*1000/(Inputs!$B$20^2)))*Inputs!$B$20^2/Inputs!$B$12)/((Inputs!$B$12*((Inputs!$B$15*(Inputs!$B$12*A182*1000/(Inputs!$B$20^2))^Inputs!$B$16*Inputs!$B$20/Inputs!$B$12))^2/(2*PI())))))</f>
        <v>1.9001396678769644</v>
      </c>
      <c r="C182" s="9">
        <f>DEGREES(ATAN((Inputs!$B$13*TANH(Inputs!$B$14*(Inputs!$B$12*A182*1000/(Inputs!$B$21^2)))*Inputs!$B$21^2/Inputs!$B$12)/((Inputs!$B$12*((Inputs!$B$15*(Inputs!$B$12*A182*1000/(Inputs!$B$21^2))^Inputs!$B$16*Inputs!$B$21/Inputs!$B$12))^2/(2*PI())))))</f>
        <v>3.2603484527762547</v>
      </c>
      <c r="D182" s="9">
        <f>DEGREES(ATAN((Inputs!$B$13*TANH(Inputs!$B$14*(Inputs!$B$12*A182*1000/(Inputs!$B$22^2)))*Inputs!$B$22^2/Inputs!$B$12)/((Inputs!$B$12*((Inputs!$B$15*(Inputs!$B$12*A182*1000/(Inputs!$B$22^2))^Inputs!$B$16*Inputs!$B$22/Inputs!$B$12))^2/(2*PI())))))</f>
        <v>4.778696569697825</v>
      </c>
      <c r="E182" s="9">
        <f>DEGREES(ATAN((Inputs!$B$13*TANH(Inputs!$B$14*(Inputs!$B$12*A182*1000/(Inputs!$B$23^2)))*Inputs!$B$23^2/Inputs!$B$12)/((Inputs!$B$12*((Inputs!$B$15*(Inputs!$B$12*A182*1000/(Inputs!$B$23^2))^Inputs!$B$16*Inputs!$B$23/Inputs!$B$12))^2/(2*PI())))))</f>
        <v>6.4225443405413793</v>
      </c>
    </row>
    <row r="183" spans="1:5" x14ac:dyDescent="0.25">
      <c r="A183" s="4">
        <v>182</v>
      </c>
      <c r="B183" s="9">
        <f>DEGREES(ATAN((Inputs!$B$13*TANH(Inputs!$B$14*(Inputs!$B$12*A183*1000/(Inputs!$B$20^2)))*Inputs!$B$20^2/Inputs!$B$12)/((Inputs!$B$12*((Inputs!$B$15*(Inputs!$B$12*A183*1000/(Inputs!$B$20^2))^Inputs!$B$16*Inputs!$B$20/Inputs!$B$12))^2/(2*PI())))))</f>
        <v>1.89317813878028</v>
      </c>
      <c r="C183" s="9">
        <f>DEGREES(ATAN((Inputs!$B$13*TANH(Inputs!$B$14*(Inputs!$B$12*A183*1000/(Inputs!$B$21^2)))*Inputs!$B$21^2/Inputs!$B$12)/((Inputs!$B$12*((Inputs!$B$15*(Inputs!$B$12*A183*1000/(Inputs!$B$21^2))^Inputs!$B$16*Inputs!$B$21/Inputs!$B$12))^2/(2*PI())))))</f>
        <v>3.2484204674188786</v>
      </c>
      <c r="D183" s="9">
        <f>DEGREES(ATAN((Inputs!$B$13*TANH(Inputs!$B$14*(Inputs!$B$12*A183*1000/(Inputs!$B$22^2)))*Inputs!$B$22^2/Inputs!$B$12)/((Inputs!$B$12*((Inputs!$B$15*(Inputs!$B$12*A183*1000/(Inputs!$B$22^2))^Inputs!$B$16*Inputs!$B$22/Inputs!$B$12))^2/(2*PI())))))</f>
        <v>4.7612568123613102</v>
      </c>
      <c r="E183" s="9">
        <f>DEGREES(ATAN((Inputs!$B$13*TANH(Inputs!$B$14*(Inputs!$B$12*A183*1000/(Inputs!$B$23^2)))*Inputs!$B$23^2/Inputs!$B$12)/((Inputs!$B$12*((Inputs!$B$15*(Inputs!$B$12*A183*1000/(Inputs!$B$23^2))^Inputs!$B$16*Inputs!$B$23/Inputs!$B$12))^2/(2*PI())))))</f>
        <v>6.3991926271007324</v>
      </c>
    </row>
    <row r="184" spans="1:5" x14ac:dyDescent="0.25">
      <c r="A184" s="4">
        <v>183</v>
      </c>
      <c r="B184" s="9">
        <f>DEGREES(ATAN((Inputs!$B$13*TANH(Inputs!$B$14*(Inputs!$B$12*A184*1000/(Inputs!$B$20^2)))*Inputs!$B$20^2/Inputs!$B$12)/((Inputs!$B$12*((Inputs!$B$15*(Inputs!$B$12*A184*1000/(Inputs!$B$20^2))^Inputs!$B$16*Inputs!$B$20/Inputs!$B$12))^2/(2*PI())))))</f>
        <v>1.8862800143691669</v>
      </c>
      <c r="C184" s="9">
        <f>DEGREES(ATAN((Inputs!$B$13*TANH(Inputs!$B$14*(Inputs!$B$12*A184*1000/(Inputs!$B$21^2)))*Inputs!$B$21^2/Inputs!$B$12)/((Inputs!$B$12*((Inputs!$B$15*(Inputs!$B$12*A184*1000/(Inputs!$B$21^2))^Inputs!$B$16*Inputs!$B$21/Inputs!$B$12))^2/(2*PI())))))</f>
        <v>3.2366009370357447</v>
      </c>
      <c r="D184" s="9">
        <f>DEGREES(ATAN((Inputs!$B$13*TANH(Inputs!$B$14*(Inputs!$B$12*A184*1000/(Inputs!$B$22^2)))*Inputs!$B$22^2/Inputs!$B$12)/((Inputs!$B$12*((Inputs!$B$15*(Inputs!$B$12*A184*1000/(Inputs!$B$22^2))^Inputs!$B$16*Inputs!$B$22/Inputs!$B$12))^2/(2*PI())))))</f>
        <v>4.7439751599238971</v>
      </c>
      <c r="E184" s="9">
        <f>DEGREES(ATAN((Inputs!$B$13*TANH(Inputs!$B$14*(Inputs!$B$12*A184*1000/(Inputs!$B$23^2)))*Inputs!$B$23^2/Inputs!$B$12)/((Inputs!$B$12*((Inputs!$B$15*(Inputs!$B$12*A184*1000/(Inputs!$B$23^2))^Inputs!$B$16*Inputs!$B$23/Inputs!$B$12))^2/(2*PI())))))</f>
        <v>6.376051677070218</v>
      </c>
    </row>
    <row r="185" spans="1:5" x14ac:dyDescent="0.25">
      <c r="A185" s="4">
        <v>184</v>
      </c>
      <c r="B185" s="9">
        <f>DEGREES(ATAN((Inputs!$B$13*TANH(Inputs!$B$14*(Inputs!$B$12*A185*1000/(Inputs!$B$20^2)))*Inputs!$B$20^2/Inputs!$B$12)/((Inputs!$B$12*((Inputs!$B$15*(Inputs!$B$12*A185*1000/(Inputs!$B$20^2))^Inputs!$B$16*Inputs!$B$20/Inputs!$B$12))^2/(2*PI())))))</f>
        <v>1.8794443757927843</v>
      </c>
      <c r="C185" s="9">
        <f>DEGREES(ATAN((Inputs!$B$13*TANH(Inputs!$B$14*(Inputs!$B$12*A185*1000/(Inputs!$B$21^2)))*Inputs!$B$21^2/Inputs!$B$12)/((Inputs!$B$12*((Inputs!$B$15*(Inputs!$B$12*A185*1000/(Inputs!$B$21^2))^Inputs!$B$16*Inputs!$B$21/Inputs!$B$12))^2/(2*PI())))))</f>
        <v>3.2248882928817526</v>
      </c>
      <c r="D185" s="9">
        <f>DEGREES(ATAN((Inputs!$B$13*TANH(Inputs!$B$14*(Inputs!$B$12*A185*1000/(Inputs!$B$22^2)))*Inputs!$B$22^2/Inputs!$B$12)/((Inputs!$B$12*((Inputs!$B$15*(Inputs!$B$12*A185*1000/(Inputs!$B$22^2))^Inputs!$B$16*Inputs!$B$22/Inputs!$B$12))^2/(2*PI())))))</f>
        <v>4.726849332984818</v>
      </c>
      <c r="E185" s="9">
        <f>DEGREES(ATAN((Inputs!$B$13*TANH(Inputs!$B$14*(Inputs!$B$12*A185*1000/(Inputs!$B$23^2)))*Inputs!$B$23^2/Inputs!$B$12)/((Inputs!$B$12*((Inputs!$B$15*(Inputs!$B$12*A185*1000/(Inputs!$B$23^2))^Inputs!$B$16*Inputs!$B$23/Inputs!$B$12))^2/(2*PI())))))</f>
        <v>6.353118466905304</v>
      </c>
    </row>
    <row r="186" spans="1:5" x14ac:dyDescent="0.25">
      <c r="A186" s="4">
        <v>185</v>
      </c>
      <c r="B186" s="9">
        <f>DEGREES(ATAN((Inputs!$B$13*TANH(Inputs!$B$14*(Inputs!$B$12*A186*1000/(Inputs!$B$20^2)))*Inputs!$B$20^2/Inputs!$B$12)/((Inputs!$B$12*((Inputs!$B$15*(Inputs!$B$12*A186*1000/(Inputs!$B$20^2))^Inputs!$B$16*Inputs!$B$20/Inputs!$B$12))^2/(2*PI())))))</f>
        <v>1.8726703224090324</v>
      </c>
      <c r="C186" s="9">
        <f>DEGREES(ATAN((Inputs!$B$13*TANH(Inputs!$B$14*(Inputs!$B$12*A186*1000/(Inputs!$B$21^2)))*Inputs!$B$21^2/Inputs!$B$12)/((Inputs!$B$12*((Inputs!$B$15*(Inputs!$B$12*A186*1000/(Inputs!$B$21^2))^Inputs!$B$16*Inputs!$B$21/Inputs!$B$12))^2/(2*PI())))))</f>
        <v>3.2132809972358043</v>
      </c>
      <c r="D186" s="9">
        <f>DEGREES(ATAN((Inputs!$B$13*TANH(Inputs!$B$14*(Inputs!$B$12*A186*1000/(Inputs!$B$22^2)))*Inputs!$B$22^2/Inputs!$B$12)/((Inputs!$B$12*((Inputs!$B$15*(Inputs!$B$12*A186*1000/(Inputs!$B$22^2))^Inputs!$B$16*Inputs!$B$22/Inputs!$B$12))^2/(2*PI())))))</f>
        <v>4.7098770970611685</v>
      </c>
      <c r="E186" s="9">
        <f>DEGREES(ATAN((Inputs!$B$13*TANH(Inputs!$B$14*(Inputs!$B$12*A186*1000/(Inputs!$B$23^2)))*Inputs!$B$23^2/Inputs!$B$12)/((Inputs!$B$12*((Inputs!$B$15*(Inputs!$B$12*A186*1000/(Inputs!$B$23^2))^Inputs!$B$16*Inputs!$B$23/Inputs!$B$12))^2/(2*PI())))))</f>
        <v>6.330390032324007</v>
      </c>
    </row>
    <row r="187" spans="1:5" x14ac:dyDescent="0.25">
      <c r="A187" s="4">
        <v>186</v>
      </c>
      <c r="B187" s="9">
        <f>DEGREES(ATAN((Inputs!$B$13*TANH(Inputs!$B$14*(Inputs!$B$12*A187*1000/(Inputs!$B$20^2)))*Inputs!$B$20^2/Inputs!$B$12)/((Inputs!$B$12*((Inputs!$B$15*(Inputs!$B$12*A187*1000/(Inputs!$B$20^2))^Inputs!$B$16*Inputs!$B$20/Inputs!$B$12))^2/(2*PI())))))</f>
        <v>1.8659569713278295</v>
      </c>
      <c r="C187" s="9">
        <f>DEGREES(ATAN((Inputs!$B$13*TANH(Inputs!$B$14*(Inputs!$B$12*A187*1000/(Inputs!$B$21^2)))*Inputs!$B$21^2/Inputs!$B$12)/((Inputs!$B$12*((Inputs!$B$15*(Inputs!$B$12*A187*1000/(Inputs!$B$21^2))^Inputs!$B$16*Inputs!$B$21/Inputs!$B$12))^2/(2*PI())))))</f>
        <v>3.201777542624316</v>
      </c>
      <c r="D187" s="9">
        <f>DEGREES(ATAN((Inputs!$B$13*TANH(Inputs!$B$14*(Inputs!$B$12*A187*1000/(Inputs!$B$22^2)))*Inputs!$B$22^2/Inputs!$B$12)/((Inputs!$B$12*((Inputs!$B$15*(Inputs!$B$12*A187*1000/(Inputs!$B$22^2))^Inputs!$B$16*Inputs!$B$22/Inputs!$B$12))^2/(2*PI())))))</f>
        <v>4.6930562614678868</v>
      </c>
      <c r="E187" s="9">
        <f>DEGREES(ATAN((Inputs!$B$13*TANH(Inputs!$B$14*(Inputs!$B$12*A187*1000/(Inputs!$B$23^2)))*Inputs!$B$23^2/Inputs!$B$12)/((Inputs!$B$12*((Inputs!$B$15*(Inputs!$B$12*A187*1000/(Inputs!$B$23^2))^Inputs!$B$16*Inputs!$B$23/Inputs!$B$12))^2/(2*PI())))))</f>
        <v>6.3078634668376683</v>
      </c>
    </row>
    <row r="188" spans="1:5" x14ac:dyDescent="0.25">
      <c r="A188" s="4">
        <v>187</v>
      </c>
      <c r="B188" s="9">
        <f>DEGREES(ATAN((Inputs!$B$13*TANH(Inputs!$B$14*(Inputs!$B$12*A188*1000/(Inputs!$B$20^2)))*Inputs!$B$20^2/Inputs!$B$12)/((Inputs!$B$12*((Inputs!$B$15*(Inputs!$B$12*A188*1000/(Inputs!$B$20^2))^Inputs!$B$16*Inputs!$B$20/Inputs!$B$12))^2/(2*PI())))))</f>
        <v>1.859303456968175</v>
      </c>
      <c r="C188" s="9">
        <f>DEGREES(ATAN((Inputs!$B$13*TANH(Inputs!$B$14*(Inputs!$B$12*A188*1000/(Inputs!$B$21^2)))*Inputs!$B$21^2/Inputs!$B$12)/((Inputs!$B$12*((Inputs!$B$15*(Inputs!$B$12*A188*1000/(Inputs!$B$21^2))^Inputs!$B$16*Inputs!$B$21/Inputs!$B$12))^2/(2*PI())))))</f>
        <v>3.1903764510681407</v>
      </c>
      <c r="D188" s="9">
        <f>DEGREES(ATAN((Inputs!$B$13*TANH(Inputs!$B$14*(Inputs!$B$12*A188*1000/(Inputs!$B$22^2)))*Inputs!$B$22^2/Inputs!$B$12)/((Inputs!$B$12*((Inputs!$B$15*(Inputs!$B$12*A188*1000/(Inputs!$B$22^2))^Inputs!$B$16*Inputs!$B$22/Inputs!$B$12))^2/(2*PI())))))</f>
        <v>4.6763846782314609</v>
      </c>
      <c r="E188" s="9">
        <f>DEGREES(ATAN((Inputs!$B$13*TANH(Inputs!$B$14*(Inputs!$B$12*A188*1000/(Inputs!$B$23^2)))*Inputs!$B$23^2/Inputs!$B$12)/((Inputs!$B$12*((Inputs!$B$15*(Inputs!$B$12*A188*1000/(Inputs!$B$23^2))^Inputs!$B$16*Inputs!$B$23/Inputs!$B$12))^2/(2*PI())))))</f>
        <v>6.2855359203256063</v>
      </c>
    </row>
    <row r="189" spans="1:5" x14ac:dyDescent="0.25">
      <c r="A189" s="4">
        <v>188</v>
      </c>
      <c r="B189" s="9">
        <f>DEGREES(ATAN((Inputs!$B$13*TANH(Inputs!$B$14*(Inputs!$B$12*A189*1000/(Inputs!$B$20^2)))*Inputs!$B$20^2/Inputs!$B$12)/((Inputs!$B$12*((Inputs!$B$15*(Inputs!$B$12*A189*1000/(Inputs!$B$20^2))^Inputs!$B$16*Inputs!$B$20/Inputs!$B$12))^2/(2*PI())))))</f>
        <v>1.8527089306286004</v>
      </c>
      <c r="C189" s="9">
        <f>DEGREES(ATAN((Inputs!$B$13*TANH(Inputs!$B$14*(Inputs!$B$12*A189*1000/(Inputs!$B$21^2)))*Inputs!$B$21^2/Inputs!$B$12)/((Inputs!$B$12*((Inputs!$B$15*(Inputs!$B$12*A189*1000/(Inputs!$B$21^2))^Inputs!$B$16*Inputs!$B$21/Inputs!$B$12))^2/(2*PI())))))</f>
        <v>3.1790762733521989</v>
      </c>
      <c r="D189" s="9">
        <f>DEGREES(ATAN((Inputs!$B$13*TANH(Inputs!$B$14*(Inputs!$B$12*A189*1000/(Inputs!$B$22^2)))*Inputs!$B$22^2/Inputs!$B$12)/((Inputs!$B$12*((Inputs!$B$15*(Inputs!$B$12*A189*1000/(Inputs!$B$22^2))^Inputs!$B$16*Inputs!$B$22/Inputs!$B$12))^2/(2*PI())))))</f>
        <v>4.6598602410361796</v>
      </c>
      <c r="E189" s="9">
        <f>DEGREES(ATAN((Inputs!$B$13*TANH(Inputs!$B$14*(Inputs!$B$12*A189*1000/(Inputs!$B$23^2)))*Inputs!$B$23^2/Inputs!$B$12)/((Inputs!$B$12*((Inputs!$B$15*(Inputs!$B$12*A189*1000/(Inputs!$B$23^2))^Inputs!$B$16*Inputs!$B$23/Inputs!$B$12))^2/(2*PI())))))</f>
        <v>6.2634045976522765</v>
      </c>
    </row>
    <row r="190" spans="1:5" x14ac:dyDescent="0.25">
      <c r="A190" s="4">
        <v>189</v>
      </c>
      <c r="B190" s="9">
        <f>DEGREES(ATAN((Inputs!$B$13*TANH(Inputs!$B$14*(Inputs!$B$12*A190*1000/(Inputs!$B$20^2)))*Inputs!$B$20^2/Inputs!$B$12)/((Inputs!$B$12*((Inputs!$B$15*(Inputs!$B$12*A190*1000/(Inputs!$B$20^2))^Inputs!$B$16*Inputs!$B$20/Inputs!$B$12))^2/(2*PI())))))</f>
        <v>1.8461725600704721</v>
      </c>
      <c r="C190" s="9">
        <f>DEGREES(ATAN((Inputs!$B$13*TANH(Inputs!$B$14*(Inputs!$B$12*A190*1000/(Inputs!$B$21^2)))*Inputs!$B$21^2/Inputs!$B$12)/((Inputs!$B$12*((Inputs!$B$15*(Inputs!$B$12*A190*1000/(Inputs!$B$21^2))^Inputs!$B$16*Inputs!$B$21/Inputs!$B$12))^2/(2*PI())))))</f>
        <v>3.1678755883168965</v>
      </c>
      <c r="D190" s="9">
        <f>DEGREES(ATAN((Inputs!$B$13*TANH(Inputs!$B$14*(Inputs!$B$12*A190*1000/(Inputs!$B$22^2)))*Inputs!$B$22^2/Inputs!$B$12)/((Inputs!$B$12*((Inputs!$B$15*(Inputs!$B$12*A190*1000/(Inputs!$B$22^2))^Inputs!$B$16*Inputs!$B$22/Inputs!$B$12))^2/(2*PI())))))</f>
        <v>4.6434808842017405</v>
      </c>
      <c r="E190" s="9">
        <f>DEGREES(ATAN((Inputs!$B$13*TANH(Inputs!$B$14*(Inputs!$B$12*A190*1000/(Inputs!$B$23^2)))*Inputs!$B$23^2/Inputs!$B$12)/((Inputs!$B$12*((Inputs!$B$15*(Inputs!$B$12*A190*1000/(Inputs!$B$23^2))^Inputs!$B$16*Inputs!$B$23/Inputs!$B$12))^2/(2*PI())))))</f>
        <v>6.2414667573253562</v>
      </c>
    </row>
    <row r="191" spans="1:5" x14ac:dyDescent="0.25">
      <c r="A191" s="4">
        <v>190</v>
      </c>
      <c r="B191" s="9">
        <f>DEGREES(ATAN((Inputs!$B$13*TANH(Inputs!$B$14*(Inputs!$B$12*A191*1000/(Inputs!$B$20^2)))*Inputs!$B$20^2/Inputs!$B$12)/((Inputs!$B$12*((Inputs!$B$15*(Inputs!$B$12*A191*1000/(Inputs!$B$20^2))^Inputs!$B$16*Inputs!$B$20/Inputs!$B$12))^2/(2*PI())))))</f>
        <v>1.8396935291137193</v>
      </c>
      <c r="C191" s="9">
        <f>DEGREES(ATAN((Inputs!$B$13*TANH(Inputs!$B$14*(Inputs!$B$12*A191*1000/(Inputs!$B$21^2)))*Inputs!$B$21^2/Inputs!$B$12)/((Inputs!$B$12*((Inputs!$B$15*(Inputs!$B$12*A191*1000/(Inputs!$B$21^2))^Inputs!$B$16*Inputs!$B$21/Inputs!$B$12))^2/(2*PI())))))</f>
        <v>3.1567730021706444</v>
      </c>
      <c r="D191" s="9">
        <f>DEGREES(ATAN((Inputs!$B$13*TANH(Inputs!$B$14*(Inputs!$B$12*A191*1000/(Inputs!$B$22^2)))*Inputs!$B$22^2/Inputs!$B$12)/((Inputs!$B$12*((Inputs!$B$15*(Inputs!$B$12*A191*1000/(Inputs!$B$22^2))^Inputs!$B$16*Inputs!$B$22/Inputs!$B$12))^2/(2*PI())))))</f>
        <v>4.627244581691162</v>
      </c>
      <c r="E191" s="9">
        <f>DEGREES(ATAN((Inputs!$B$13*TANH(Inputs!$B$14*(Inputs!$B$12*A191*1000/(Inputs!$B$23^2)))*Inputs!$B$23^2/Inputs!$B$12)/((Inputs!$B$12*((Inputs!$B$15*(Inputs!$B$12*A191*1000/(Inputs!$B$23^2))^Inputs!$B$16*Inputs!$B$23/Inputs!$B$12))^2/(2*PI())))))</f>
        <v>6.2197197101933499</v>
      </c>
    </row>
    <row r="192" spans="1:5" x14ac:dyDescent="0.25">
      <c r="A192" s="4">
        <v>191</v>
      </c>
      <c r="B192" s="9">
        <f>DEGREES(ATAN((Inputs!$B$13*TANH(Inputs!$B$14*(Inputs!$B$12*A192*1000/(Inputs!$B$20^2)))*Inputs!$B$20^2/Inputs!$B$12)/((Inputs!$B$12*((Inputs!$B$15*(Inputs!$B$12*A192*1000/(Inputs!$B$20^2))^Inputs!$B$16*Inputs!$B$20/Inputs!$B$12))^2/(2*PI())))))</f>
        <v>1.8332710372445762</v>
      </c>
      <c r="C192" s="9">
        <f>DEGREES(ATAN((Inputs!$B$13*TANH(Inputs!$B$14*(Inputs!$B$12*A192*1000/(Inputs!$B$21^2)))*Inputs!$B$21^2/Inputs!$B$12)/((Inputs!$B$12*((Inputs!$B$15*(Inputs!$B$12*A192*1000/(Inputs!$B$21^2))^Inputs!$B$16*Inputs!$B$21/Inputs!$B$12))^2/(2*PI())))))</f>
        <v>3.1457671478227565</v>
      </c>
      <c r="D192" s="9">
        <f>DEGREES(ATAN((Inputs!$B$13*TANH(Inputs!$B$14*(Inputs!$B$12*A192*1000/(Inputs!$B$22^2)))*Inputs!$B$22^2/Inputs!$B$12)/((Inputs!$B$12*((Inputs!$B$15*(Inputs!$B$12*A192*1000/(Inputs!$B$22^2))^Inputs!$B$16*Inputs!$B$22/Inputs!$B$12))^2/(2*PI())))))</f>
        <v>4.6111493461479984</v>
      </c>
      <c r="E192" s="9">
        <f>DEGREES(ATAN((Inputs!$B$13*TANH(Inputs!$B$14*(Inputs!$B$12*A192*1000/(Inputs!$B$23^2)))*Inputs!$B$23^2/Inputs!$B$12)/((Inputs!$B$12*((Inputs!$B$15*(Inputs!$B$12*A192*1000/(Inputs!$B$23^2))^Inputs!$B$16*Inputs!$B$23/Inputs!$B$12))^2/(2*PI())))))</f>
        <v>6.1981608181813774</v>
      </c>
    </row>
    <row r="193" spans="1:5" x14ac:dyDescent="0.25">
      <c r="A193" s="4">
        <v>192</v>
      </c>
      <c r="B193" s="9">
        <f>DEGREES(ATAN((Inputs!$B$13*TANH(Inputs!$B$14*(Inputs!$B$12*A193*1000/(Inputs!$B$20^2)))*Inputs!$B$20^2/Inputs!$B$12)/((Inputs!$B$12*((Inputs!$B$15*(Inputs!$B$12*A193*1000/(Inputs!$B$20^2))^Inputs!$B$16*Inputs!$B$20/Inputs!$B$12))^2/(2*PI())))))</f>
        <v>1.826904299234861</v>
      </c>
      <c r="C193" s="9">
        <f>DEGREES(ATAN((Inputs!$B$13*TANH(Inputs!$B$14*(Inputs!$B$12*A193*1000/(Inputs!$B$21^2)))*Inputs!$B$21^2/Inputs!$B$12)/((Inputs!$B$12*((Inputs!$B$15*(Inputs!$B$12*A193*1000/(Inputs!$B$21^2))^Inputs!$B$16*Inputs!$B$21/Inputs!$B$12))^2/(2*PI())))))</f>
        <v>3.1348566842359071</v>
      </c>
      <c r="D193" s="9">
        <f>DEGREES(ATAN((Inputs!$B$13*TANH(Inputs!$B$14*(Inputs!$B$12*A193*1000/(Inputs!$B$22^2)))*Inputs!$B$22^2/Inputs!$B$12)/((Inputs!$B$12*((Inputs!$B$15*(Inputs!$B$12*A193*1000/(Inputs!$B$22^2))^Inputs!$B$16*Inputs!$B$22/Inputs!$B$12))^2/(2*PI())))))</f>
        <v>4.5951932279616914</v>
      </c>
      <c r="E193" s="9">
        <f>DEGREES(ATAN((Inputs!$B$13*TANH(Inputs!$B$14*(Inputs!$B$12*A193*1000/(Inputs!$B$23^2)))*Inputs!$B$23^2/Inputs!$B$12)/((Inputs!$B$12*((Inputs!$B$15*(Inputs!$B$12*A193*1000/(Inputs!$B$23^2))^Inputs!$B$16*Inputs!$B$23/Inputs!$B$12))^2/(2*PI())))))</f>
        <v>6.1767874930638227</v>
      </c>
    </row>
    <row r="194" spans="1:5" x14ac:dyDescent="0.25">
      <c r="A194" s="4">
        <v>193</v>
      </c>
      <c r="B194" s="9">
        <f>DEGREES(ATAN((Inputs!$B$13*TANH(Inputs!$B$14*(Inputs!$B$12*A194*1000/(Inputs!$B$20^2)))*Inputs!$B$20^2/Inputs!$B$12)/((Inputs!$B$12*((Inputs!$B$15*(Inputs!$B$12*A194*1000/(Inputs!$B$20^2))^Inputs!$B$16*Inputs!$B$20/Inputs!$B$12))^2/(2*PI())))))</f>
        <v>1.8205925447724611</v>
      </c>
      <c r="C194" s="9">
        <f>DEGREES(ATAN((Inputs!$B$13*TANH(Inputs!$B$14*(Inputs!$B$12*A194*1000/(Inputs!$B$21^2)))*Inputs!$B$21^2/Inputs!$B$12)/((Inputs!$B$12*((Inputs!$B$15*(Inputs!$B$12*A194*1000/(Inputs!$B$21^2))^Inputs!$B$16*Inputs!$B$21/Inputs!$B$12))^2/(2*PI())))))</f>
        <v>3.1240402957976388</v>
      </c>
      <c r="D194" s="9">
        <f>DEGREES(ATAN((Inputs!$B$13*TANH(Inputs!$B$14*(Inputs!$B$12*A194*1000/(Inputs!$B$22^2)))*Inputs!$B$22^2/Inputs!$B$12)/((Inputs!$B$12*((Inputs!$B$15*(Inputs!$B$12*A194*1000/(Inputs!$B$22^2))^Inputs!$B$16*Inputs!$B$22/Inputs!$B$12))^2/(2*PI())))))</f>
        <v>4.5793743143602912</v>
      </c>
      <c r="E194" s="9">
        <f>DEGREES(ATAN((Inputs!$B$13*TANH(Inputs!$B$14*(Inputs!$B$12*A194*1000/(Inputs!$B$23^2)))*Inputs!$B$23^2/Inputs!$B$12)/((Inputs!$B$12*((Inputs!$B$15*(Inputs!$B$12*A194*1000/(Inputs!$B$23^2))^Inputs!$B$16*Inputs!$B$23/Inputs!$B$12))^2/(2*PI())))))</f>
        <v>6.155597195272577</v>
      </c>
    </row>
    <row r="195" spans="1:5" x14ac:dyDescent="0.25">
      <c r="A195" s="4">
        <v>194</v>
      </c>
      <c r="B195" s="9">
        <f>DEGREES(ATAN((Inputs!$B$13*TANH(Inputs!$B$14*(Inputs!$B$12*A195*1000/(Inputs!$B$20^2)))*Inputs!$B$20^2/Inputs!$B$12)/((Inputs!$B$12*((Inputs!$B$15*(Inputs!$B$12*A195*1000/(Inputs!$B$20^2))^Inputs!$B$16*Inputs!$B$20/Inputs!$B$12))^2/(2*PI())))))</f>
        <v>1.8143350181026001</v>
      </c>
      <c r="C195" s="9">
        <f>DEGREES(ATAN((Inputs!$B$13*TANH(Inputs!$B$14*(Inputs!$B$12*A195*1000/(Inputs!$B$21^2)))*Inputs!$B$21^2/Inputs!$B$12)/((Inputs!$B$12*((Inputs!$B$15*(Inputs!$B$12*A195*1000/(Inputs!$B$21^2))^Inputs!$B$16*Inputs!$B$21/Inputs!$B$12))^2/(2*PI())))))</f>
        <v>3.1133166917101374</v>
      </c>
      <c r="D195" s="9">
        <f>DEGREES(ATAN((Inputs!$B$13*TANH(Inputs!$B$14*(Inputs!$B$12*A195*1000/(Inputs!$B$22^2)))*Inputs!$B$22^2/Inputs!$B$12)/((Inputs!$B$12*((Inputs!$B$15*(Inputs!$B$12*A195*1000/(Inputs!$B$22^2))^Inputs!$B$16*Inputs!$B$22/Inputs!$B$12))^2/(2*PI())))))</f>
        <v>4.5636907285294228</v>
      </c>
      <c r="E195" s="9">
        <f>DEGREES(ATAN((Inputs!$B$13*TANH(Inputs!$B$14*(Inputs!$B$12*A195*1000/(Inputs!$B$23^2)))*Inputs!$B$23^2/Inputs!$B$12)/((Inputs!$B$12*((Inputs!$B$15*(Inputs!$B$12*A195*1000/(Inputs!$B$23^2))^Inputs!$B$16*Inputs!$B$23/Inputs!$B$12))^2/(2*PI())))))</f>
        <v>6.134587432739691</v>
      </c>
    </row>
    <row r="196" spans="1:5" x14ac:dyDescent="0.25">
      <c r="A196" s="4">
        <v>195</v>
      </c>
      <c r="B196" s="9">
        <f>DEGREES(ATAN((Inputs!$B$13*TANH(Inputs!$B$14*(Inputs!$B$12*A196*1000/(Inputs!$B$20^2)))*Inputs!$B$20^2/Inputs!$B$12)/((Inputs!$B$12*((Inputs!$B$15*(Inputs!$B$12*A196*1000/(Inputs!$B$20^2))^Inputs!$B$16*Inputs!$B$20/Inputs!$B$12))^2/(2*PI())))))</f>
        <v>1.8081309776795147</v>
      </c>
      <c r="C196" s="9">
        <f>DEGREES(ATAN((Inputs!$B$13*TANH(Inputs!$B$14*(Inputs!$B$12*A196*1000/(Inputs!$B$21^2)))*Inputs!$B$21^2/Inputs!$B$12)/((Inputs!$B$12*((Inputs!$B$15*(Inputs!$B$12*A196*1000/(Inputs!$B$21^2))^Inputs!$B$16*Inputs!$B$21/Inputs!$B$12))^2/(2*PI())))))</f>
        <v>3.1026846053977009</v>
      </c>
      <c r="D196" s="9">
        <f>DEGREES(ATAN((Inputs!$B$13*TANH(Inputs!$B$14*(Inputs!$B$12*A196*1000/(Inputs!$B$22^2)))*Inputs!$B$22^2/Inputs!$B$12)/((Inputs!$B$12*((Inputs!$B$15*(Inputs!$B$12*A196*1000/(Inputs!$B$22^2))^Inputs!$B$16*Inputs!$B$22/Inputs!$B$12))^2/(2*PI())))))</f>
        <v>4.5481406287567925</v>
      </c>
      <c r="E196" s="9">
        <f>DEGREES(ATAN((Inputs!$B$13*TANH(Inputs!$B$14*(Inputs!$B$12*A196*1000/(Inputs!$B$23^2)))*Inputs!$B$23^2/Inputs!$B$12)/((Inputs!$B$12*((Inputs!$B$15*(Inputs!$B$12*A196*1000/(Inputs!$B$23^2))^Inputs!$B$16*Inputs!$B$23/Inputs!$B$12))^2/(2*PI())))))</f>
        <v>6.1137557597732455</v>
      </c>
    </row>
    <row r="197" spans="1:5" x14ac:dyDescent="0.25">
      <c r="A197" s="4">
        <v>196</v>
      </c>
      <c r="B197" s="9">
        <f>DEGREES(ATAN((Inputs!$B$13*TANH(Inputs!$B$14*(Inputs!$B$12*A197*1000/(Inputs!$B$20^2)))*Inputs!$B$20^2/Inputs!$B$12)/((Inputs!$B$12*((Inputs!$B$15*(Inputs!$B$12*A197*1000/(Inputs!$B$20^2))^Inputs!$B$16*Inputs!$B$20/Inputs!$B$12))^2/(2*PI())))))</f>
        <v>1.8019796958282153</v>
      </c>
      <c r="C197" s="9">
        <f>DEGREES(ATAN((Inputs!$B$13*TANH(Inputs!$B$14*(Inputs!$B$12*A197*1000/(Inputs!$B$21^2)))*Inputs!$B$21^2/Inputs!$B$12)/((Inputs!$B$12*((Inputs!$B$15*(Inputs!$B$12*A197*1000/(Inputs!$B$21^2))^Inputs!$B$16*Inputs!$B$21/Inputs!$B$12))^2/(2*PI())))))</f>
        <v>3.0921427939313064</v>
      </c>
      <c r="D197" s="9">
        <f>DEGREES(ATAN((Inputs!$B$13*TANH(Inputs!$B$14*(Inputs!$B$12*A197*1000/(Inputs!$B$22^2)))*Inputs!$B$22^2/Inputs!$B$12)/((Inputs!$B$12*((Inputs!$B$15*(Inputs!$B$12*A197*1000/(Inputs!$B$22^2))^Inputs!$B$16*Inputs!$B$22/Inputs!$B$12))^2/(2*PI())))))</f>
        <v>4.5327222076011857</v>
      </c>
      <c r="E197" s="9">
        <f>DEGREES(ATAN((Inputs!$B$13*TANH(Inputs!$B$14*(Inputs!$B$12*A197*1000/(Inputs!$B$23^2)))*Inputs!$B$23^2/Inputs!$B$12)/((Inputs!$B$12*((Inputs!$B$15*(Inputs!$B$12*A197*1000/(Inputs!$B$23^2))^Inputs!$B$16*Inputs!$B$23/Inputs!$B$12))^2/(2*PI())))))</f>
        <v>6.0930997759653573</v>
      </c>
    </row>
    <row r="198" spans="1:5" x14ac:dyDescent="0.25">
      <c r="A198" s="4">
        <v>197</v>
      </c>
      <c r="B198" s="9">
        <f>DEGREES(ATAN((Inputs!$B$13*TANH(Inputs!$B$14*(Inputs!$B$12*A198*1000/(Inputs!$B$20^2)))*Inputs!$B$20^2/Inputs!$B$12)/((Inputs!$B$12*((Inputs!$B$15*(Inputs!$B$12*A198*1000/(Inputs!$B$20^2))^Inputs!$B$16*Inputs!$B$20/Inputs!$B$12))^2/(2*PI())))))</f>
        <v>1.7958804584159702</v>
      </c>
      <c r="C198" s="9">
        <f>DEGREES(ATAN((Inputs!$B$13*TANH(Inputs!$B$14*(Inputs!$B$12*A198*1000/(Inputs!$B$21^2)))*Inputs!$B$21^2/Inputs!$B$12)/((Inputs!$B$12*((Inputs!$B$15*(Inputs!$B$12*A198*1000/(Inputs!$B$21^2))^Inputs!$B$16*Inputs!$B$21/Inputs!$B$12))^2/(2*PI())))))</f>
        <v>3.0816900374696981</v>
      </c>
      <c r="D198" s="9">
        <f>DEGREES(ATAN((Inputs!$B$13*TANH(Inputs!$B$14*(Inputs!$B$12*A198*1000/(Inputs!$B$22^2)))*Inputs!$B$22^2/Inputs!$B$12)/((Inputs!$B$12*((Inputs!$B$15*(Inputs!$B$12*A198*1000/(Inputs!$B$22^2))^Inputs!$B$16*Inputs!$B$22/Inputs!$B$12))^2/(2*PI())))))</f>
        <v>4.5174336910852828</v>
      </c>
      <c r="E198" s="9">
        <f>DEGREES(ATAN((Inputs!$B$13*TANH(Inputs!$B$14*(Inputs!$B$12*A198*1000/(Inputs!$B$23^2)))*Inputs!$B$23^2/Inputs!$B$12)/((Inputs!$B$12*((Inputs!$B$15*(Inputs!$B$12*A198*1000/(Inputs!$B$23^2))^Inputs!$B$16*Inputs!$B$23/Inputs!$B$12))^2/(2*PI())))))</f>
        <v>6.0726171251312389</v>
      </c>
    </row>
    <row r="199" spans="1:5" x14ac:dyDescent="0.25">
      <c r="A199" s="4">
        <v>198</v>
      </c>
      <c r="B199" s="9">
        <f>DEGREES(ATAN((Inputs!$B$13*TANH(Inputs!$B$14*(Inputs!$B$12*A199*1000/(Inputs!$B$20^2)))*Inputs!$B$20^2/Inputs!$B$12)/((Inputs!$B$12*((Inputs!$B$15*(Inputs!$B$12*A199*1000/(Inputs!$B$20^2))^Inputs!$B$16*Inputs!$B$20/Inputs!$B$12))^2/(2*PI())))))</f>
        <v>1.7898325645331861</v>
      </c>
      <c r="C199" s="9">
        <f>DEGREES(ATAN((Inputs!$B$13*TANH(Inputs!$B$14*(Inputs!$B$12*A199*1000/(Inputs!$B$21^2)))*Inputs!$B$21^2/Inputs!$B$12)/((Inputs!$B$12*((Inputs!$B$15*(Inputs!$B$12*A199*1000/(Inputs!$B$21^2))^Inputs!$B$16*Inputs!$B$21/Inputs!$B$12))^2/(2*PI())))))</f>
        <v>3.0713251387164089</v>
      </c>
      <c r="D199" s="9">
        <f>DEGREES(ATAN((Inputs!$B$13*TANH(Inputs!$B$14*(Inputs!$B$12*A199*1000/(Inputs!$B$22^2)))*Inputs!$B$22^2/Inputs!$B$12)/((Inputs!$B$12*((Inputs!$B$15*(Inputs!$B$12*A199*1000/(Inputs!$B$22^2))^Inputs!$B$16*Inputs!$B$22/Inputs!$B$12))^2/(2*PI())))))</f>
        <v>4.5022733379114159</v>
      </c>
      <c r="E199" s="9">
        <f>DEGREES(ATAN((Inputs!$B$13*TANH(Inputs!$B$14*(Inputs!$B$12*A199*1000/(Inputs!$B$23^2)))*Inputs!$B$23^2/Inputs!$B$12)/((Inputs!$B$12*((Inputs!$B$15*(Inputs!$B$12*A199*1000/(Inputs!$B$23^2))^Inputs!$B$16*Inputs!$B$23/Inputs!$B$12))^2/(2*PI())))))</f>
        <v>6.0523054942782331</v>
      </c>
    </row>
    <row r="200" spans="1:5" x14ac:dyDescent="0.25">
      <c r="A200" s="4">
        <v>199</v>
      </c>
      <c r="B200" s="9">
        <f>DEGREES(ATAN((Inputs!$B$13*TANH(Inputs!$B$14*(Inputs!$B$12*A200*1000/(Inputs!$B$20^2)))*Inputs!$B$20^2/Inputs!$B$12)/((Inputs!$B$12*((Inputs!$B$15*(Inputs!$B$12*A200*1000/(Inputs!$B$20^2))^Inputs!$B$16*Inputs!$B$20/Inputs!$B$12))^2/(2*PI())))))</f>
        <v>1.7838353261833668</v>
      </c>
      <c r="C200" s="9">
        <f>DEGREES(ATAN((Inputs!$B$13*TANH(Inputs!$B$14*(Inputs!$B$12*A200*1000/(Inputs!$B$21^2)))*Inputs!$B$21^2/Inputs!$B$12)/((Inputs!$B$12*((Inputs!$B$15*(Inputs!$B$12*A200*1000/(Inputs!$B$21^2))^Inputs!$B$16*Inputs!$B$21/Inputs!$B$12))^2/(2*PI())))))</f>
        <v>3.0610469223922281</v>
      </c>
      <c r="D200" s="9">
        <f>DEGREES(ATAN((Inputs!$B$13*TANH(Inputs!$B$14*(Inputs!$B$12*A200*1000/(Inputs!$B$22^2)))*Inputs!$B$22^2/Inputs!$B$12)/((Inputs!$B$12*((Inputs!$B$15*(Inputs!$B$12*A200*1000/(Inputs!$B$22^2))^Inputs!$B$16*Inputs!$B$22/Inputs!$B$12))^2/(2*PI())))))</f>
        <v>4.4872394386995103</v>
      </c>
      <c r="E200" s="9">
        <f>DEGREES(ATAN((Inputs!$B$13*TANH(Inputs!$B$14*(Inputs!$B$12*A200*1000/(Inputs!$B$23^2)))*Inputs!$B$23^2/Inputs!$B$12)/((Inputs!$B$12*((Inputs!$B$15*(Inputs!$B$12*A200*1000/(Inputs!$B$23^2))^Inputs!$B$16*Inputs!$B$23/Inputs!$B$12))^2/(2*PI())))))</f>
        <v>6.032162612603873</v>
      </c>
    </row>
    <row r="201" spans="1:5" x14ac:dyDescent="0.25">
      <c r="A201" s="4">
        <v>200</v>
      </c>
      <c r="B201" s="9">
        <f>DEGREES(ATAN((Inputs!$B$13*TANH(Inputs!$B$14*(Inputs!$B$12*A201*1000/(Inputs!$B$20^2)))*Inputs!$B$20^2/Inputs!$B$12)/((Inputs!$B$12*((Inputs!$B$15*(Inputs!$B$12*A201*1000/(Inputs!$B$20^2))^Inputs!$B$16*Inputs!$B$20/Inputs!$B$12))^2/(2*PI())))))</f>
        <v>1.7778880679818707</v>
      </c>
      <c r="C201" s="9">
        <f>DEGREES(ATAN((Inputs!$B$13*TANH(Inputs!$B$14*(Inputs!$B$12*A201*1000/(Inputs!$B$21^2)))*Inputs!$B$21^2/Inputs!$B$12)/((Inputs!$B$12*((Inputs!$B$15*(Inputs!$B$12*A201*1000/(Inputs!$B$21^2))^Inputs!$B$16*Inputs!$B$21/Inputs!$B$12))^2/(2*PI())))))</f>
        <v>3.0508542347225625</v>
      </c>
      <c r="D201" s="9">
        <f>DEGREES(ATAN((Inputs!$B$13*TANH(Inputs!$B$14*(Inputs!$B$12*A201*1000/(Inputs!$B$22^2)))*Inputs!$B$22^2/Inputs!$B$12)/((Inputs!$B$12*((Inputs!$B$15*(Inputs!$B$12*A201*1000/(Inputs!$B$22^2))^Inputs!$B$16*Inputs!$B$22/Inputs!$B$12))^2/(2*PI())))))</f>
        <v>4.4723303152465217</v>
      </c>
      <c r="E201" s="9">
        <f>DEGREES(ATAN((Inputs!$B$13*TANH(Inputs!$B$14*(Inputs!$B$12*A201*1000/(Inputs!$B$23^2)))*Inputs!$B$23^2/Inputs!$B$12)/((Inputs!$B$12*((Inputs!$B$15*(Inputs!$B$12*A201*1000/(Inputs!$B$23^2))^Inputs!$B$16*Inputs!$B$23/Inputs!$B$12))^2/(2*PI())))))</f>
        <v>6.0121862505220776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zoomScaleNormal="100" workbookViewId="0"/>
  </sheetViews>
  <sheetFormatPr defaultColWidth="8.7109375" defaultRowHeight="15" x14ac:dyDescent="0.25"/>
  <sheetData>
    <row r="1" spans="1:1" ht="18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10" t="s">
        <v>36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Metadata/LabelInfo.xml><?xml version="1.0" encoding="utf-8"?>
<clbl:labelList xmlns:clbl="http://schemas.microsoft.com/office/2020/mipLabelMetadata">
  <clbl:label id="{4058088d-b0a6-4b25-91ed-de53affe74db}" enabled="1" method="Privileged" siteId="{19537222-55d7-4581-84fb-c2da6e835c7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Inputs</vt:lpstr>
      <vt:lpstr>Data</vt:lpstr>
      <vt:lpstr>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Timothy Lovett</cp:lastModifiedBy>
  <cp:revision>1</cp:revision>
  <dcterms:created xsi:type="dcterms:W3CDTF">2026-07-23T23:21:36Z</dcterms:created>
  <dcterms:modified xsi:type="dcterms:W3CDTF">2026-07-24T00:37:00Z</dcterms:modified>
  <dc:language>en-US</dc:language>
</cp:coreProperties>
</file>