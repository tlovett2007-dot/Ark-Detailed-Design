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b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<sst xmlns="http://schemas.openxmlformats.org/spreadsheetml/2006/main" count="23" uniqueCount="23">
  <si>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Block Coefficient (Cb) by Vessel Type</t>
  </si>
  <si>
    <t xml:space="preserve">Edit Cb Min / Max values (blue cells) — chart updates automatically. Add rows as needed.</t>
  </si>
  <si>
    <t xml:space="preserve">Vessel Type</t>
  </si>
  <si>
    <t xml:space="preserve">Cb Min</t>
  </si>
  <si>
    <t xml:space="preserve">Cb Max</t>
  </si>
  <si>
    <t xml:space="preserve">Midpoint</t>
  </si>
  <si>
    <t xml:space="preserve">Range</t>
  </si>
  <si>
    <t xml:space="preserve">Notes</t>
  </si>
  <si>
    <t xml:space="preserve">Fast Naval Vessel</t>
  </si>
  <si>
    <t xml:space="preserve">Destroyers, frigates</t>
  </si>
  <si>
    <t xml:space="preserve">Container Ship</t>
  </si>
  <si>
    <t xml:space="preserve">Modern container vessels</t>
  </si>
  <si>
    <t xml:space="preserve">Bulk Carrier</t>
  </si>
  <si>
    <t xml:space="preserve">Dry bulk — grain, ore; also tankers</t>
  </si>
  <si>
    <t xml:space="preserve">Lovett / AiG Ark</t>
  </si>
  <si>
    <t xml:space="preserve">CAD-confirmed from AR-003-20110418 at T=7.86m</t>
  </si>
  <si>
    <t xml:space="preserve">Hong et al. hulls (1994)</t>
  </si>
  <si>
    <t xml:space="preserve">Range of 13 hulls tested; Genesis proportions ranked 3rd</t>
  </si>
  <si>
    <t xml:space="preserve">Box Ark (W&amp;Morris)</t>
  </si>
  <si>
    <t xml:space="preserve">Rectangular hull — Cb = 1.0 by definition</t>
  </si>
  <si>
    <t xml:space="preserve">River Barge</t>
  </si>
  <si>
    <t xml:space="preserve">Inland waterway — sheltered water only</t>
  </si>
  <si>
    <t xml:space="preserve">Blue = editable input  |  Green = calculated  |  Add vessel rows and extend chart data range manually.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</si>
</sst>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4A2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C4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Block Coefficient Range by Vessel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"Cb Min (base)"</c:f>
              <c:strCache>
                <c:ptCount val="1"/>
                <c:pt idx="0">
                  <c:v>Cb Min (base)</c:v>
                </c:pt>
              </c:strCache>
            </c:strRef>
          </c:tx>
          <c:spPr>
            <a:solidFill>
              <a:srgbClr val="ffffff"/>
            </a:solidFill>
            <a:ln w="936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'Cb Chart'!$A$4:$A$10</c:f>
              <c:strCache>
                <c:ptCount val="7"/>
                <c:pt idx="0">
                  <c:v>Fast Naval Vessel</c:v>
                </c:pt>
                <c:pt idx="1">
                  <c:v>Container Ship</c:v>
                </c:pt>
                <c:pt idx="2">
                  <c:v>Bulk Carrier</c:v>
                </c:pt>
                <c:pt idx="3">
                  <c:v>Lovett / AiG Ark</c:v>
                </c:pt>
                <c:pt idx="4">
                  <c:v>Hong et al. hulls (1994)</c:v>
                </c:pt>
                <c:pt idx="5">
                  <c:v>Box Ark (W&amp;Morris)</c:v>
                </c:pt>
                <c:pt idx="6">
                  <c:v>River Barge</c:v>
                </c:pt>
              </c:strCache>
            </c:strRef>
          </c:cat>
          <c:val>
            <c:numRef>
              <c:f>'Cb Chart'!$B$3:$B$10</c:f>
              <c:numCache>
                <c:formatCode>0.000</c:formatCode>
                <c:ptCount val="8"/>
                <c:pt idx="1">
                  <c:v>0.5</c:v>
                </c:pt>
                <c:pt idx="2">
                  <c:v>0.6</c:v>
                </c:pt>
                <c:pt idx="3">
                  <c:v>0.8</c:v>
                </c:pt>
                <c:pt idx="4">
                  <c:v>0.87</c:v>
                </c:pt>
                <c:pt idx="5">
                  <c:v>0.92</c:v>
                </c:pt>
                <c:pt idx="6">
                  <c:v>1</c:v>
                </c:pt>
                <c:pt idx="7">
                  <c:v>0.9</c:v>
                </c:pt>
              </c:numCache>
            </c:numRef>
          </c:val>
        </c:ser>
        <c:ser>
          <c:idx val="1"/>
          <c:order val="1"/>
          <c:tx>
            <c:strRef>
              <c:f>"Cb Range"</c:f>
              <c:strCache>
                <c:ptCount val="1"/>
                <c:pt idx="0">
                  <c:v>Cb Range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2c4a2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'Cb Chart'!$A$4:$A$10</c:f>
              <c:strCache>
                <c:ptCount val="7"/>
                <c:pt idx="0">
                  <c:v>Fast Naval Vessel</c:v>
                </c:pt>
                <c:pt idx="1">
                  <c:v>Container Ship</c:v>
                </c:pt>
                <c:pt idx="2">
                  <c:v>Bulk Carrier</c:v>
                </c:pt>
                <c:pt idx="3">
                  <c:v>Lovett / AiG Ark</c:v>
                </c:pt>
                <c:pt idx="4">
                  <c:v>Hong et al. hulls (1994)</c:v>
                </c:pt>
                <c:pt idx="5">
                  <c:v>Box Ark (W&amp;Morris)</c:v>
                </c:pt>
                <c:pt idx="6">
                  <c:v>River Barge</c:v>
                </c:pt>
              </c:strCache>
            </c:strRef>
          </c:cat>
          <c:val>
            <c:numRef>
              <c:f>'Cb Chart'!$E$3:$E$10</c:f>
              <c:numCache>
                <c:formatCode>0.000</c:formatCode>
                <c:ptCount val="8"/>
                <c:pt idx="1">
                  <c:v>0.1</c:v>
                </c:pt>
                <c:pt idx="2">
                  <c:v>0.15</c:v>
                </c:pt>
                <c:pt idx="3">
                  <c:v>0.08</c:v>
                </c:pt>
                <c:pt idx="4">
                  <c:v>0</c:v>
                </c:pt>
                <c:pt idx="5">
                  <c:v>0.0299999999999999</c:v>
                </c:pt>
                <c:pt idx="6">
                  <c:v>0</c:v>
                </c:pt>
                <c:pt idx="7">
                  <c:v>0.0499999999999999</c:v>
                </c:pt>
              </c:numCache>
            </c:numRef>
          </c:val>
        </c:ser>
        <c:gapWidth val="150"/>
        <c:overlap val="100"/>
        <c:axId val="16494946"/>
        <c:axId val="19995118"/>
      </c:barChart>
      <c:catAx>
        <c:axId val="1649494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Block Coefficient (Cb)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95118"/>
        <c:crosses val="autoZero"/>
        <c:auto val="1"/>
        <c:lblAlgn val="ctr"/>
        <c:lblOffset val="100"/>
        <c:noMultiLvlLbl val="0"/>
      </c:catAx>
      <c:valAx>
        <c:axId val="199951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Vessel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94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6</xdr:col>
      <xdr:colOff>25200</xdr:colOff>
      <xdr:row>39</xdr:row>
      <xdr:rowOff>86760</xdr:rowOff>
    </xdr:to>
    <xdr:graphicFrame>
      <xdr:nvGraphicFramePr>
        <xdr:cNvPr id="0" name="Chart 1"/>
        <xdr:cNvGraphicFramePr/>
      </xdr:nvGraphicFramePr>
      <xdr:xfrm>
        <a:off x="0" y="32576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9.5" hidden="false" customHeight="true" outlineLevel="0" collapsed="false">
      <c r="A4" s="4" t="s">
        <v>8</v>
      </c>
      <c r="B4" s="5" t="n">
        <v>0.5</v>
      </c>
      <c r="C4" s="5" t="n">
        <v>0.6</v>
      </c>
      <c r="D4" s="6" t="n">
        <f aca="false">(B4+C4)/2</f>
        <v>0.55</v>
      </c>
      <c r="E4" s="6" t="n">
        <f aca="false">C4-B4</f>
        <v>0.1</v>
      </c>
      <c r="F4" s="4" t="s">
        <v>9</v>
      </c>
    </row>
    <row r="5" customFormat="false" ht="19.5" hidden="false" customHeight="true" outlineLevel="0" collapsed="false">
      <c r="A5" s="4" t="s">
        <v>10</v>
      </c>
      <c r="B5" s="5" t="n">
        <v>0.6</v>
      </c>
      <c r="C5" s="5" t="n">
        <v>0.75</v>
      </c>
      <c r="D5" s="6" t="n">
        <f aca="false">(B5+C5)/2</f>
        <v>0.675</v>
      </c>
      <c r="E5" s="6" t="n">
        <f aca="false">C5-B5</f>
        <v>0.15</v>
      </c>
      <c r="F5" s="4" t="s">
        <v>11</v>
      </c>
    </row>
    <row r="6" customFormat="false" ht="19.5" hidden="false" customHeight="true" outlineLevel="0" collapsed="false">
      <c r="A6" s="4" t="s">
        <v>12</v>
      </c>
      <c r="B6" s="5" t="n">
        <v>0.8</v>
      </c>
      <c r="C6" s="5" t="n">
        <v>0.88</v>
      </c>
      <c r="D6" s="6" t="n">
        <f aca="false">(B6+C6)/2</f>
        <v>0.84</v>
      </c>
      <c r="E6" s="6" t="n">
        <f aca="false">C6-B6</f>
        <v>0.08</v>
      </c>
      <c r="F6" s="4" t="s">
        <v>13</v>
      </c>
    </row>
    <row r="7" customFormat="false" ht="19.5" hidden="false" customHeight="true" outlineLevel="0" collapsed="false">
      <c r="A7" s="4" t="s">
        <v>14</v>
      </c>
      <c r="B7" s="5" t="n">
        <v>0.87</v>
      </c>
      <c r="C7" s="5" t="n">
        <v>0.87</v>
      </c>
      <c r="D7" s="6" t="n">
        <f aca="false">(B7+C7)/2</f>
        <v>0.87</v>
      </c>
      <c r="E7" s="6" t="n">
        <f aca="false">C7-B7</f>
        <v>0</v>
      </c>
      <c r="F7" s="4" t="s">
        <v>15</v>
      </c>
    </row>
    <row r="8" customFormat="false" ht="19.5" hidden="false" customHeight="true" outlineLevel="0" collapsed="false">
      <c r="A8" s="4" t="s">
        <v>16</v>
      </c>
      <c r="B8" s="5" t="n">
        <v>0.92</v>
      </c>
      <c r="C8" s="5" t="n">
        <v>0.95</v>
      </c>
      <c r="D8" s="6" t="n">
        <f aca="false">(B8+C8)/2</f>
        <v>0.935</v>
      </c>
      <c r="E8" s="6" t="n">
        <f aca="false">C8-B8</f>
        <v>0.0299999999999999</v>
      </c>
      <c r="F8" s="4" t="s">
        <v>17</v>
      </c>
    </row>
    <row r="9" customFormat="false" ht="19.5" hidden="false" customHeight="true" outlineLevel="0" collapsed="false">
      <c r="A9" s="4" t="s">
        <v>18</v>
      </c>
      <c r="B9" s="5" t="n">
        <v>1</v>
      </c>
      <c r="C9" s="5" t="n">
        <v>1</v>
      </c>
      <c r="D9" s="6" t="n">
        <f aca="false">(B9+C9)/2</f>
        <v>1</v>
      </c>
      <c r="E9" s="6" t="n">
        <f aca="false">C9-B9</f>
        <v>0</v>
      </c>
      <c r="F9" s="4" t="s">
        <v>19</v>
      </c>
    </row>
    <row r="10" customFormat="false" ht="19.5" hidden="false" customHeight="true" outlineLevel="0" collapsed="false">
      <c r="A10" s="4" t="s">
        <v>20</v>
      </c>
      <c r="B10" s="5" t="n">
        <v>0.9</v>
      </c>
      <c r="C10" s="5" t="n">
        <v>0.95</v>
      </c>
      <c r="D10" s="6" t="n">
        <f aca="false">(B10+C10)/2</f>
        <v>0.925</v>
      </c>
      <c r="E10" s="6" t="n">
        <f aca="false">C10-B10</f>
        <v>0.0499999999999999</v>
      </c>
      <c r="F10" s="4" t="s">
        <v>21</v>
      </c>
    </row>
    <row r="12" customFormat="false" ht="15" hidden="false" customHeight="false" outlineLevel="0" collapsed="false">
      <c r="A12" s="7" t="s">
        <v>22</v>
      </c>
      <c r="B12" s="7"/>
      <c r="C12" s="7"/>
      <c r="D12" s="7"/>
      <c r="E12" s="7"/>
      <c r="F12" s="7"/>
    </row>
  </sheetData>
  <mergeCells count="3">
    <mergeCell ref="A1:F1"/>
    <mergeCell ref="A2:F2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2026-08-09T08:00:33Z</dcterms:created>
  <dc:creator>openpyxl</dc:creator>
  <dc:description/>
  <dc:language>en-US</dc:language>
  <cp:lastModifiedBy/>
  <dcterms:modified xsi:type="dcterms:W3CDTF">2026-08-09T08:00:40Z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