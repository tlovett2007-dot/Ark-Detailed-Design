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Ark-Detailed-Design\hull-form\calcs\"/>
    </mc:Choice>
  </mc:AlternateContent>
  <xr:revisionPtr revIDLastSave="0" documentId="13_ncr:1_{2C84F151-5515-4CF0-A0A1-8D348C242F8F}" xr6:coauthVersionLast="47" xr6:coauthVersionMax="47" xr10:uidLastSave="{00000000-0000-0000-0000-000000000000}"/>
  <bookViews>
    <workbookView xWindow="-25050" yWindow="120" windowWidth="21600" windowHeight="15480" tabRatio="500" activeTab="3" xr2:uid="{00000000-000D-0000-FFFF-FFFF00000000}"/>
  </bookViews>
  <sheets>
    <sheet name="Wave Bending Moment" sheetId="1" r:id="rId1"/>
    <sheet name="Wave Shear Force" sheetId="2" r:id="rId2"/>
    <sheet name="Longitudinal Shear" sheetId="3" r:id="rId3"/>
    <sheet name="GZ Curv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2" i="4" l="1"/>
  <c r="B52" i="4"/>
  <c r="D52" i="4" s="1"/>
  <c r="A52" i="4"/>
  <c r="C51" i="4"/>
  <c r="B51" i="4"/>
  <c r="D51" i="4" s="1"/>
  <c r="A51" i="4"/>
  <c r="C50" i="4"/>
  <c r="B50" i="4"/>
  <c r="D50" i="4" s="1"/>
  <c r="A50" i="4"/>
  <c r="C49" i="4"/>
  <c r="B49" i="4"/>
  <c r="D49" i="4" s="1"/>
  <c r="A49" i="4"/>
  <c r="C48" i="4"/>
  <c r="B48" i="4"/>
  <c r="A48" i="4"/>
  <c r="C47" i="4"/>
  <c r="B47" i="4"/>
  <c r="A47" i="4"/>
  <c r="C46" i="4"/>
  <c r="B46" i="4"/>
  <c r="D46" i="4" s="1"/>
  <c r="A46" i="4"/>
  <c r="C45" i="4"/>
  <c r="B45" i="4"/>
  <c r="D45" i="4" s="1"/>
  <c r="A45" i="4"/>
  <c r="C44" i="4"/>
  <c r="B44" i="4"/>
  <c r="D44" i="4" s="1"/>
  <c r="A44" i="4"/>
  <c r="C43" i="4"/>
  <c r="B43" i="4"/>
  <c r="A43" i="4"/>
  <c r="C42" i="4"/>
  <c r="B42" i="4"/>
  <c r="D42" i="4" s="1"/>
  <c r="A42" i="4"/>
  <c r="C41" i="4"/>
  <c r="B41" i="4"/>
  <c r="D41" i="4" s="1"/>
  <c r="A41" i="4"/>
  <c r="C40" i="4"/>
  <c r="B40" i="4"/>
  <c r="A40" i="4"/>
  <c r="C39" i="4"/>
  <c r="B39" i="4"/>
  <c r="A39" i="4"/>
  <c r="C38" i="4"/>
  <c r="B38" i="4"/>
  <c r="D38" i="4" s="1"/>
  <c r="A38" i="4"/>
  <c r="C37" i="4"/>
  <c r="B37" i="4"/>
  <c r="D37" i="4" s="1"/>
  <c r="A37" i="4"/>
  <c r="C36" i="4"/>
  <c r="B36" i="4"/>
  <c r="D36" i="4" s="1"/>
  <c r="A36" i="4"/>
  <c r="C35" i="4"/>
  <c r="B35" i="4"/>
  <c r="A35" i="4"/>
  <c r="C34" i="4"/>
  <c r="B34" i="4"/>
  <c r="D34" i="4" s="1"/>
  <c r="A34" i="4"/>
  <c r="C33" i="4"/>
  <c r="B33" i="4"/>
  <c r="D33" i="4" s="1"/>
  <c r="A33" i="4"/>
  <c r="C32" i="4"/>
  <c r="B32" i="4"/>
  <c r="A32" i="4"/>
  <c r="C31" i="4"/>
  <c r="B31" i="4"/>
  <c r="A31" i="4"/>
  <c r="C30" i="4"/>
  <c r="B30" i="4"/>
  <c r="D30" i="4" s="1"/>
  <c r="A30" i="4"/>
  <c r="C29" i="4"/>
  <c r="B29" i="4"/>
  <c r="D29" i="4" s="1"/>
  <c r="A29" i="4"/>
  <c r="C28" i="4"/>
  <c r="B28" i="4"/>
  <c r="D28" i="4" s="1"/>
  <c r="A28" i="4"/>
  <c r="C27" i="4"/>
  <c r="B27" i="4"/>
  <c r="A27" i="4"/>
  <c r="C26" i="4"/>
  <c r="B26" i="4"/>
  <c r="D26" i="4" s="1"/>
  <c r="A26" i="4"/>
  <c r="C25" i="4"/>
  <c r="B25" i="4"/>
  <c r="D25" i="4" s="1"/>
  <c r="A25" i="4"/>
  <c r="C24" i="4"/>
  <c r="B24" i="4"/>
  <c r="A24" i="4"/>
  <c r="C23" i="4"/>
  <c r="B23" i="4"/>
  <c r="A23" i="4"/>
  <c r="C22" i="4"/>
  <c r="B22" i="4"/>
  <c r="A22" i="4"/>
  <c r="B18" i="4"/>
  <c r="B17" i="4"/>
  <c r="B16" i="4"/>
  <c r="E52" i="4" s="1"/>
  <c r="B15" i="4"/>
  <c r="D47" i="4" s="1"/>
  <c r="B14" i="4"/>
  <c r="B18" i="3"/>
  <c r="B17" i="3"/>
  <c r="B16" i="3"/>
  <c r="D13" i="2"/>
  <c r="D12" i="2"/>
  <c r="C12" i="2"/>
  <c r="B12" i="2"/>
  <c r="D11" i="2"/>
  <c r="C11" i="2"/>
  <c r="B11" i="2"/>
  <c r="D10" i="2"/>
  <c r="C10" i="2"/>
  <c r="B10" i="2"/>
  <c r="C13" i="1"/>
  <c r="C13" i="2" s="1"/>
  <c r="B13" i="1"/>
  <c r="B18" i="1" s="1"/>
  <c r="B20" i="1" s="1"/>
  <c r="C18" i="2" l="1"/>
  <c r="C20" i="2" s="1"/>
  <c r="C17" i="2"/>
  <c r="C19" i="2" s="1"/>
  <c r="C18" i="1"/>
  <c r="C20" i="1" s="1"/>
  <c r="E25" i="4"/>
  <c r="E33" i="4"/>
  <c r="E41" i="4"/>
  <c r="E49" i="4"/>
  <c r="D22" i="4"/>
  <c r="D27" i="4"/>
  <c r="E30" i="4"/>
  <c r="D35" i="4"/>
  <c r="E38" i="4"/>
  <c r="D43" i="4"/>
  <c r="E46" i="4"/>
  <c r="D24" i="4"/>
  <c r="E35" i="4"/>
  <c r="D40" i="4"/>
  <c r="E43" i="4"/>
  <c r="D48" i="4"/>
  <c r="E51" i="4"/>
  <c r="E24" i="4"/>
  <c r="E32" i="4"/>
  <c r="E40" i="4"/>
  <c r="E48" i="4"/>
  <c r="B13" i="2"/>
  <c r="E29" i="4"/>
  <c r="E37" i="4"/>
  <c r="E45" i="4"/>
  <c r="E27" i="4"/>
  <c r="D32" i="4"/>
  <c r="B17" i="1"/>
  <c r="B19" i="1" s="1"/>
  <c r="C17" i="1"/>
  <c r="C19" i="1" s="1"/>
  <c r="D23" i="4"/>
  <c r="E26" i="4"/>
  <c r="D31" i="4"/>
  <c r="E34" i="4"/>
  <c r="D39" i="4"/>
  <c r="E42" i="4"/>
  <c r="E50" i="4"/>
  <c r="E23" i="4"/>
  <c r="E31" i="4"/>
  <c r="E39" i="4"/>
  <c r="E47" i="4"/>
  <c r="E28" i="4"/>
  <c r="E36" i="4"/>
  <c r="E44" i="4"/>
  <c r="B17" i="2" l="1"/>
  <c r="B19" i="2" s="1"/>
  <c r="B18" i="2"/>
  <c r="B12" i="3" l="1"/>
  <c r="B20" i="2"/>
  <c r="B24" i="3" l="1"/>
  <c r="C23" i="3"/>
  <c r="B23" i="3"/>
  <c r="B22" i="3"/>
  <c r="C22" i="3"/>
  <c r="C24" i="3"/>
</calcChain>
</file>

<file path=xl/sharedStrings.xml><?xml version="1.0" encoding="utf-8"?>
<sst xmlns="http://schemas.openxmlformats.org/spreadsheetml/2006/main" count="150" uniqueCount="111">
  <si>
    <t>IACS UR S11 — Vertical Wave Bending Moment</t>
  </si>
  <si>
    <t>Noah's Ark vs Panamax Bulk Carrier</t>
  </si>
  <si>
    <t>Formula:  Mw = k · C · L² · B · (Cb + 0.7) × 10⁻³  [kN·m]</t>
  </si>
  <si>
    <t>k = 110 (hogging)  |  k = 190 (sagging)  |  C = wave coefficient = 10.75 − ((300−L)/100)^1.5  for 100 ≤ L ≤ 300m</t>
  </si>
  <si>
    <t>INPUTS</t>
  </si>
  <si>
    <t>Parameter</t>
  </si>
  <si>
    <t>Noah's Ark</t>
  </si>
  <si>
    <t>Panamax</t>
  </si>
  <si>
    <t>Notes</t>
  </si>
  <si>
    <t>Length L (m)</t>
  </si>
  <si>
    <t>Ark: 300 × 0.524m | Panamax: typical</t>
  </si>
  <si>
    <t>Beam B (m)</t>
  </si>
  <si>
    <t>Ark: 50 × 0.524m | Panamax: typical</t>
  </si>
  <si>
    <t>Block coefficient Cb</t>
  </si>
  <si>
    <t>Ark: CAD AR-003-20110418 | Panamax: typical</t>
  </si>
  <si>
    <t>Draft T (m)</t>
  </si>
  <si>
    <t>Ark: 15 cubits (Gen 7:20) | Panamax: typical</t>
  </si>
  <si>
    <t>Wave coefficient C</t>
  </si>
  <si>
    <t>IACS UR S11 — valid 100 ≤ L ≤ 300m</t>
  </si>
  <si>
    <t>RESULTS</t>
  </si>
  <si>
    <t>Mw Hogging (kN·m)</t>
  </si>
  <si>
    <t>k=110</t>
  </si>
  <si>
    <t>Mw Sagging (kN·m)</t>
  </si>
  <si>
    <t>k=190</t>
  </si>
  <si>
    <t>Mw Hogging (MN·m)</t>
  </si>
  <si>
    <t>Mw Sagging (MN·m)</t>
  </si>
  <si>
    <t>Source: IACS Unified Requirement S11 (Rev.7, 2022). Blue cells = inputs (edit freely).</t>
  </si>
  <si>
    <t>IACS UR S11 — Vertical Wave Shear Force</t>
  </si>
  <si>
    <t>Formula:  Vw = k · C · L · B · (Cb + 0.7) × 10⁻²  [kN]</t>
  </si>
  <si>
    <t>k = 30 (positive/hogging shear)  |  k = 37 (negative/sagging shear)  |  C = wave coefficient (same as WBM sheet)</t>
  </si>
  <si>
    <t>Maximum shear occurs at approx. quarter-length points — governs hull wall, bulkhead connections, and frame sizing at L/4.</t>
  </si>
  <si>
    <t>INPUTS (linked from Wave Bending Moment sheet)</t>
  </si>
  <si>
    <t>Vw Positive/Hogging (kN)</t>
  </si>
  <si>
    <t>k=30</t>
  </si>
  <si>
    <t>Vw Negative/Sagging (kN)</t>
  </si>
  <si>
    <t>k=37</t>
  </si>
  <si>
    <t>Vw Positive/Hogging (MN)</t>
  </si>
  <si>
    <t>Vw Negative/Sagging (MN)</t>
  </si>
  <si>
    <t>Source: IACS UR S11 (Rev.7, 2022). Green cells = linked from WBM sheet — edit inputs there.</t>
  </si>
  <si>
    <t>Longitudinal Shear Flow — Hull Box Section</t>
  </si>
  <si>
    <t>Noah's Ark — thin-walled box beam approximation</t>
  </si>
  <si>
    <t>Formula:  q = VQ/I  [kN/m]   where V = vertical shear, Q = first moment of area above shear plane, I = second moment of area</t>
  </si>
  <si>
    <t>Critical planes: (1) deck-to-side joint  (2) keel-to-side joint  (3) neutral axis (mid-height)</t>
  </si>
  <si>
    <t>INPUTS — Hull Cross Section</t>
  </si>
  <si>
    <t>Value</t>
  </si>
  <si>
    <t>Units</t>
  </si>
  <si>
    <t>Overall depth D (m)</t>
  </si>
  <si>
    <t>m</t>
  </si>
  <si>
    <t>30 cubits × 0.524m</t>
  </si>
  <si>
    <t>Overall beam B (m)</t>
  </si>
  <si>
    <t>50 cubits × 0.524m</t>
  </si>
  <si>
    <t>Wall thickness t (m)</t>
  </si>
  <si>
    <t>127mm plank + 812mm frame — all walls equal</t>
  </si>
  <si>
    <t>Shear force V (kN)</t>
  </si>
  <si>
    <t>kN</t>
  </si>
  <si>
    <t>Linked — sagging (governing) from shear sheet</t>
  </si>
  <si>
    <t>SECTION PROPERTIES</t>
  </si>
  <si>
    <t>Property</t>
  </si>
  <si>
    <t>Formula result</t>
  </si>
  <si>
    <t>Second moment of area I (m⁴)</t>
  </si>
  <si>
    <t>m⁴</t>
  </si>
  <si>
    <t>Outer box minus inner void</t>
  </si>
  <si>
    <t>Q at deck joint (m³)</t>
  </si>
  <si>
    <t>m³</t>
  </si>
  <si>
    <t>Top flange contribution only</t>
  </si>
  <si>
    <t>Q at neutral axis (m³)</t>
  </si>
  <si>
    <t>Top flange + half webs</t>
  </si>
  <si>
    <t>SHEAR FLOW RESULTS</t>
  </si>
  <si>
    <t>Location</t>
  </si>
  <si>
    <t>Shear flow q (kN/m)</t>
  </si>
  <si>
    <t>Stress τ (MPa)</t>
  </si>
  <si>
    <t>Deck-to-side joint</t>
  </si>
  <si>
    <t>q split between 2 joints; τ = q/(2t)</t>
  </si>
  <si>
    <t>Keel-to-side joint</t>
  </si>
  <si>
    <t>Same as deck by symmetry</t>
  </si>
  <si>
    <t>Neutral axis (max shear flow)</t>
  </si>
  <si>
    <t>Shared by 2 webs — divide by 2</t>
  </si>
  <si>
    <t>Timber shear capacity reference: parallel to grain 6–12 MPa | perpendicular (rolling) shear 1.5–3 MPa | old growth pine ~8 MPa parallel</t>
  </si>
  <si>
    <t>Source: IACS UR S11 (Rev.7, 2022). Blue = input, green = linked from Wave Shear Force sheet.</t>
  </si>
  <si>
    <t>GZ Restoring Arm — Rectangular Cross Section (Hong eq. 11–14)</t>
  </si>
  <si>
    <t>All hull forms in this study had a rectangular cross section — Hong et al. (1994)</t>
  </si>
  <si>
    <t>Beam B₀ (m)</t>
  </si>
  <si>
    <t>50 cubits × 0.524m — edit freely</t>
  </si>
  <si>
    <t>Depth D (m)</t>
  </si>
  <si>
    <t>Draft d₀ (m)</t>
  </si>
  <si>
    <t>15 cubits — Genesis 7:20</t>
  </si>
  <si>
    <t>KG (m)</t>
  </si>
  <si>
    <t>Under review — edit freely</t>
  </si>
  <si>
    <t>Seawater density ρ</t>
  </si>
  <si>
    <t>t/m³</t>
  </si>
  <si>
    <t>Angle step (deg)</t>
  </si>
  <si>
    <t>°</t>
  </si>
  <si>
    <t>Resolution of GZ curve</t>
  </si>
  <si>
    <t>DERIVED</t>
  </si>
  <si>
    <t>Freeboard f (m)</t>
  </si>
  <si>
    <t>D - d₀</t>
  </si>
  <si>
    <t>OG (m)</t>
  </si>
  <si>
    <t>d₀ - KG  (eq.13) — negative means G above waterline</t>
  </si>
  <si>
    <t>Deck corner angle φ_max</t>
  </si>
  <si>
    <t>Heel at which deck edge submerges</t>
  </si>
  <si>
    <t>Displacement Δ (t/m run)</t>
  </si>
  <si>
    <t>t/m</t>
  </si>
  <si>
    <t>Per unit length — buoyancy force constant</t>
  </si>
  <si>
    <t>GM₀ (m)</t>
  </si>
  <si>
    <t>BM - KG + KB = B²/12d - KG + d/2</t>
  </si>
  <si>
    <t>GZ CURVE — Hong equations 11–14 (rectangular cross section)</t>
  </si>
  <si>
    <t>Heel φ (°)</t>
  </si>
  <si>
    <t>OB (m)</t>
  </si>
  <si>
    <t>KB (m)</t>
  </si>
  <si>
    <t>GZ (m)</t>
  </si>
  <si>
    <t>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</si>
</sst>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2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i/>
      <sz val="9"/>
      <color rgb="FF008000"/>
      <name val="Arial"/>
      <family val="2"/>
    </font>
    <font>
      <b/>
      <sz val="10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/>
    <xf numFmtId="0" fontId="1" fillId="2" borderId="0" xfId="0" applyFont="1" applyFill="1" applyAlignment="1">
      <alignment horizontal="center"/>
    </xf>
    <xf numFmtId="0" fontId="10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0" borderId="0" xfId="0" applyFont="1"/>
    <xf numFmtId="2" fontId="6" fillId="0" borderId="0" xfId="0" applyNumberFormat="1" applyFont="1"/>
    <xf numFmtId="164" fontId="7" fillId="0" borderId="0" xfId="0" applyNumberFormat="1" applyFont="1"/>
    <xf numFmtId="3" fontId="5" fillId="0" borderId="0" xfId="0" applyNumberFormat="1" applyFont="1"/>
    <xf numFmtId="164" fontId="8" fillId="0" borderId="0" xfId="0" applyNumberFormat="1" applyFont="1"/>
    <xf numFmtId="0" fontId="9" fillId="0" borderId="0" xfId="0" applyFont="1"/>
    <xf numFmtId="164" fontId="6" fillId="0" borderId="0" xfId="0" applyNumberFormat="1" applyFont="1"/>
    <xf numFmtId="2" fontId="5" fillId="0" borderId="0" xfId="0" applyNumberFormat="1" applyFont="1"/>
    <xf numFmtId="165" fontId="5" fillId="0" borderId="0" xfId="0" applyNumberFormat="1" applyFont="1"/>
    <xf numFmtId="164" fontId="5" fillId="0" borderId="0" xfId="0" applyNumberFormat="1" applyFont="1"/>
    <xf numFmtId="1" fontId="0" fillId="0" borderId="0" xfId="0" applyNumberFormat="1"/>
    <xf numFmtId="164" fontId="0" fillId="0" borderId="0" xfId="0" applyNumberForma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DC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GZ Restoring Arm vs Heel Angle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GZ</c:v>
          </c:tx>
          <c:spPr>
            <a:ln w="1800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'GZ Curve'!$A$22:$A$52</c:f>
              <c:numCache>
                <c:formatCode>0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'GZ Curve'!$D$22:$D$52</c:f>
              <c:numCache>
                <c:formatCode>0.000</c:formatCode>
                <c:ptCount val="31"/>
                <c:pt idx="0">
                  <c:v>0</c:v>
                </c:pt>
                <c:pt idx="1">
                  <c:v>4.7987596416347367E-2</c:v>
                </c:pt>
                <c:pt idx="2">
                  <c:v>9.2032498621390457E-2</c:v>
                </c:pt>
                <c:pt idx="3">
                  <c:v>0.15407027911701254</c:v>
                </c:pt>
                <c:pt idx="4">
                  <c:v>0.2495009032345622</c:v>
                </c:pt>
                <c:pt idx="5">
                  <c:v>0.38706361041087578</c:v>
                </c:pt>
                <c:pt idx="6">
                  <c:v>0.56848936597909494</c:v>
                </c:pt>
                <c:pt idx="7">
                  <c:v>0.78790523789835742</c:v>
                </c:pt>
                <c:pt idx="8">
                  <c:v>1.0309513028651089</c:v>
                </c:pt>
                <c:pt idx="9">
                  <c:v>1.27355369712845</c:v>
                </c:pt>
                <c:pt idx="10">
                  <c:v>1.4802757439084018</c:v>
                </c:pt>
                <c:pt idx="11">
                  <c:v>1.6021407335962476</c:v>
                </c:pt>
                <c:pt idx="12">
                  <c:v>1.5737821550947757</c:v>
                </c:pt>
                <c:pt idx="13">
                  <c:v>1.3097260879766532</c:v>
                </c:pt>
                <c:pt idx="14">
                  <c:v>0.69954048769159805</c:v>
                </c:pt>
                <c:pt idx="15">
                  <c:v>-0.39851087349420933</c:v>
                </c:pt>
                <c:pt idx="16">
                  <c:v>-2.165807925740511</c:v>
                </c:pt>
                <c:pt idx="17">
                  <c:v>-4.8343979263125849</c:v>
                </c:pt>
                <c:pt idx="18">
                  <c:v>-8.7016697649690187</c:v>
                </c:pt>
                <c:pt idx="19">
                  <c:v>-14.150045727207949</c:v>
                </c:pt>
                <c:pt idx="20">
                  <c:v>-21.673645298185992</c:v>
                </c:pt>
                <c:pt idx="21">
                  <c:v>-31.914750619245556</c:v>
                </c:pt>
                <c:pt idx="22">
                  <c:v>-45.714224700851048</c:v>
                </c:pt>
                <c:pt idx="23">
                  <c:v>-64.182060429838344</c:v>
                </c:pt>
                <c:pt idx="24">
                  <c:v>-88.797399912044995</c:v>
                </c:pt>
                <c:pt idx="25">
                  <c:v>-121.5523853406408</c:v>
                </c:pt>
                <c:pt idx="26">
                  <c:v>-165.16233844426441</c:v>
                </c:pt>
                <c:pt idx="27">
                  <c:v>-223.37823572062675</c:v>
                </c:pt>
                <c:pt idx="28">
                  <c:v>-301.46028585368902</c:v>
                </c:pt>
                <c:pt idx="29">
                  <c:v>-406.91117171615656</c:v>
                </c:pt>
                <c:pt idx="30">
                  <c:v>-550.63877050766575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0C-4CEF-A748-14F9C2269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78180"/>
        <c:axId val="85951585"/>
      </c:scatterChart>
      <c:valAx>
        <c:axId val="9047818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Heel angle </a:t>
                </a: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φ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951585"/>
        <c:crosses val="autoZero"/>
        <c:crossBetween val="midCat"/>
      </c:valAx>
      <c:valAx>
        <c:axId val="859515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GZ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47818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25</xdr:row>
      <xdr:rowOff>4590</xdr:rowOff>
    </xdr:from>
    <xdr:to>
      <xdr:col>16</xdr:col>
      <xdr:colOff>12285</xdr:colOff>
      <xdr:row>47</xdr:row>
      <xdr:rowOff>133170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zoomScaleNormal="100" workbookViewId="0">
      <selection sqref="A1:D1"/>
    </sheetView>
  </sheetViews>
  <sheetFormatPr defaultColWidth="8.7109375" defaultRowHeight="15" x14ac:dyDescent="0.25"/>
  <cols>
    <col min="1" max="1" width="32" customWidth="1"/>
    <col min="2" max="2" width="18" customWidth="1"/>
    <col min="3" max="3" width="12" customWidth="1"/>
    <col min="4" max="4" width="32" customWidth="1"/>
  </cols>
  <sheetData>
    <row r="1" spans="1:4" ht="15.75" customHeight="1" x14ac:dyDescent="0.25">
      <c r="A1" s="7" t="s">
        <v>0</v>
      </c>
      <c r="B1" s="7"/>
      <c r="C1" s="7"/>
      <c r="D1" s="7"/>
    </row>
    <row r="2" spans="1:4" ht="15" customHeight="1" x14ac:dyDescent="0.25">
      <c r="A2" s="6" t="s">
        <v>1</v>
      </c>
      <c r="B2" s="6"/>
      <c r="C2" s="6"/>
      <c r="D2" s="6"/>
    </row>
    <row r="4" spans="1:4" ht="15" customHeight="1" x14ac:dyDescent="0.25">
      <c r="A4" s="5" t="s">
        <v>2</v>
      </c>
      <c r="B4" s="5"/>
      <c r="C4" s="5"/>
      <c r="D4" s="5"/>
    </row>
    <row r="5" spans="1:4" ht="15" customHeight="1" x14ac:dyDescent="0.25">
      <c r="A5" s="4" t="s">
        <v>3</v>
      </c>
      <c r="B5" s="4"/>
      <c r="C5" s="4"/>
      <c r="D5" s="4"/>
    </row>
    <row r="7" spans="1:4" ht="15" customHeight="1" x14ac:dyDescent="0.25">
      <c r="A7" s="9" t="s">
        <v>4</v>
      </c>
    </row>
    <row r="8" spans="1:4" ht="15" customHeight="1" x14ac:dyDescent="0.25">
      <c r="A8" s="10" t="s">
        <v>5</v>
      </c>
      <c r="B8" s="10" t="s">
        <v>6</v>
      </c>
      <c r="C8" s="10" t="s">
        <v>7</v>
      </c>
      <c r="D8" s="10" t="s">
        <v>8</v>
      </c>
    </row>
    <row r="9" spans="1:4" ht="15" customHeight="1" x14ac:dyDescent="0.25">
      <c r="A9" s="11" t="s">
        <v>9</v>
      </c>
      <c r="B9" s="12">
        <v>157.19999999999999</v>
      </c>
      <c r="C9" s="12">
        <v>225</v>
      </c>
      <c r="D9" s="8" t="s">
        <v>10</v>
      </c>
    </row>
    <row r="10" spans="1:4" ht="15" customHeight="1" x14ac:dyDescent="0.25">
      <c r="A10" s="11" t="s">
        <v>11</v>
      </c>
      <c r="B10" s="12">
        <v>26.2</v>
      </c>
      <c r="C10" s="12">
        <v>32.200000000000003</v>
      </c>
      <c r="D10" s="8" t="s">
        <v>12</v>
      </c>
    </row>
    <row r="11" spans="1:4" ht="15" customHeight="1" x14ac:dyDescent="0.25">
      <c r="A11" s="11" t="s">
        <v>13</v>
      </c>
      <c r="B11" s="12">
        <v>0.87</v>
      </c>
      <c r="C11" s="12">
        <v>0.83</v>
      </c>
      <c r="D11" s="8" t="s">
        <v>14</v>
      </c>
    </row>
    <row r="12" spans="1:4" ht="15" customHeight="1" x14ac:dyDescent="0.25">
      <c r="A12" s="11" t="s">
        <v>15</v>
      </c>
      <c r="B12" s="12">
        <v>7.86</v>
      </c>
      <c r="C12" s="12">
        <v>14</v>
      </c>
      <c r="D12" s="8" t="s">
        <v>16</v>
      </c>
    </row>
    <row r="13" spans="1:4" ht="15" customHeight="1" x14ac:dyDescent="0.25">
      <c r="A13" s="11" t="s">
        <v>17</v>
      </c>
      <c r="B13" s="13">
        <f>10.75-((300-B9)/100)^1.5</f>
        <v>9.0435549373038686</v>
      </c>
      <c r="C13" s="13">
        <f>10.75-((300-C9)/100)^1.5</f>
        <v>10.100480947161671</v>
      </c>
      <c r="D13" s="8" t="s">
        <v>18</v>
      </c>
    </row>
    <row r="15" spans="1:4" ht="15" customHeight="1" x14ac:dyDescent="0.25">
      <c r="A15" s="9" t="s">
        <v>19</v>
      </c>
    </row>
    <row r="16" spans="1:4" ht="15" customHeight="1" x14ac:dyDescent="0.25">
      <c r="A16" s="10"/>
      <c r="B16" s="10" t="s">
        <v>6</v>
      </c>
      <c r="C16" s="10" t="s">
        <v>7</v>
      </c>
      <c r="D16" s="10" t="s">
        <v>8</v>
      </c>
    </row>
    <row r="17" spans="1:4" ht="15" customHeight="1" x14ac:dyDescent="0.25">
      <c r="A17" s="11" t="s">
        <v>20</v>
      </c>
      <c r="B17" s="14">
        <f>110*B13*B9^2*B10*(B11+0.7)*0.001</f>
        <v>1011201.9384049438</v>
      </c>
      <c r="C17" s="14">
        <f>110*C13*C9^2*C10*(C11+0.7)*0.001</f>
        <v>2771067.3266218402</v>
      </c>
      <c r="D17" s="8" t="s">
        <v>21</v>
      </c>
    </row>
    <row r="18" spans="1:4" ht="15" customHeight="1" x14ac:dyDescent="0.25">
      <c r="A18" s="11" t="s">
        <v>22</v>
      </c>
      <c r="B18" s="14">
        <f>190*B13*B9^2*B10*(B11+0.7)*0.001</f>
        <v>1746621.5299721758</v>
      </c>
      <c r="C18" s="14">
        <f>190*C13*C9^2*C10*(C11+0.7)*0.001</f>
        <v>4786389.0187104503</v>
      </c>
      <c r="D18" s="8" t="s">
        <v>23</v>
      </c>
    </row>
    <row r="19" spans="1:4" ht="15" customHeight="1" x14ac:dyDescent="0.25">
      <c r="A19" s="11" t="s">
        <v>24</v>
      </c>
      <c r="B19" s="14">
        <f>B17/1000</f>
        <v>1011.2019384049438</v>
      </c>
      <c r="C19" s="14">
        <f>C17/1000</f>
        <v>2771.06732662184</v>
      </c>
      <c r="D19" s="8"/>
    </row>
    <row r="20" spans="1:4" ht="15" customHeight="1" x14ac:dyDescent="0.25">
      <c r="A20" s="11" t="s">
        <v>25</v>
      </c>
      <c r="B20" s="14">
        <f>B18/1000</f>
        <v>1746.6215299721757</v>
      </c>
      <c r="C20" s="14">
        <f>C18/1000</f>
        <v>4786.3890187104498</v>
      </c>
      <c r="D20" s="8"/>
    </row>
    <row r="22" spans="1:4" ht="15" customHeight="1" x14ac:dyDescent="0.25">
      <c r="A22" s="4" t="s">
        <v>26</v>
      </c>
      <c r="B22" s="4"/>
      <c r="C22" s="4"/>
      <c r="D22" s="4"/>
    </row>
  </sheetData>
  <mergeCells count="5">
    <mergeCell ref="A1:D1"/>
    <mergeCell ref="A2:D2"/>
    <mergeCell ref="A4:D4"/>
    <mergeCell ref="A5:D5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zoomScaleNormal="100" workbookViewId="0">
      <selection sqref="A1:D1"/>
    </sheetView>
  </sheetViews>
  <sheetFormatPr defaultColWidth="8.7109375" defaultRowHeight="15" x14ac:dyDescent="0.25"/>
  <cols>
    <col min="1" max="1" width="32" customWidth="1"/>
    <col min="2" max="2" width="18" customWidth="1"/>
    <col min="3" max="3" width="12" customWidth="1"/>
    <col min="4" max="4" width="38" customWidth="1"/>
  </cols>
  <sheetData>
    <row r="1" spans="1:4" ht="15.75" customHeight="1" x14ac:dyDescent="0.25">
      <c r="A1" s="7" t="s">
        <v>27</v>
      </c>
      <c r="B1" s="7"/>
      <c r="C1" s="7"/>
      <c r="D1" s="7"/>
    </row>
    <row r="2" spans="1:4" ht="15" customHeight="1" x14ac:dyDescent="0.25">
      <c r="A2" s="6" t="s">
        <v>1</v>
      </c>
      <c r="B2" s="6"/>
      <c r="C2" s="6"/>
      <c r="D2" s="6"/>
    </row>
    <row r="4" spans="1:4" ht="15" customHeight="1" x14ac:dyDescent="0.25">
      <c r="A4" s="5" t="s">
        <v>28</v>
      </c>
      <c r="B4" s="5"/>
      <c r="C4" s="5"/>
      <c r="D4" s="5"/>
    </row>
    <row r="5" spans="1:4" ht="15" customHeight="1" x14ac:dyDescent="0.25">
      <c r="A5" s="4" t="s">
        <v>29</v>
      </c>
      <c r="B5" s="4"/>
      <c r="C5" s="4"/>
      <c r="D5" s="4"/>
    </row>
    <row r="6" spans="1:4" ht="15" customHeight="1" x14ac:dyDescent="0.25">
      <c r="A6" s="4" t="s">
        <v>30</v>
      </c>
      <c r="B6" s="4"/>
      <c r="C6" s="4"/>
      <c r="D6" s="4"/>
    </row>
    <row r="8" spans="1:4" ht="15" customHeight="1" x14ac:dyDescent="0.25">
      <c r="A8" s="9" t="s">
        <v>31</v>
      </c>
    </row>
    <row r="9" spans="1:4" ht="15" customHeight="1" x14ac:dyDescent="0.25">
      <c r="A9" s="10" t="s">
        <v>5</v>
      </c>
      <c r="B9" s="10" t="s">
        <v>6</v>
      </c>
      <c r="C9" s="10" t="s">
        <v>7</v>
      </c>
      <c r="D9" s="10" t="s">
        <v>8</v>
      </c>
    </row>
    <row r="10" spans="1:4" ht="15" customHeight="1" x14ac:dyDescent="0.25">
      <c r="A10" s="11" t="s">
        <v>9</v>
      </c>
      <c r="B10" s="15">
        <f>'Wave Bending Moment'!B9</f>
        <v>157.19999999999999</v>
      </c>
      <c r="C10" s="15">
        <f>'Wave Bending Moment'!C9</f>
        <v>225</v>
      </c>
      <c r="D10" s="16" t="str">
        <f>'Wave Bending Moment'!D9</f>
        <v>Ark: 300 × 0.524m | Panamax: typical</v>
      </c>
    </row>
    <row r="11" spans="1:4" ht="15" customHeight="1" x14ac:dyDescent="0.25">
      <c r="A11" s="11" t="s">
        <v>11</v>
      </c>
      <c r="B11" s="15">
        <f>'Wave Bending Moment'!B10</f>
        <v>26.2</v>
      </c>
      <c r="C11" s="15">
        <f>'Wave Bending Moment'!C10</f>
        <v>32.200000000000003</v>
      </c>
      <c r="D11" s="16" t="str">
        <f>'Wave Bending Moment'!D10</f>
        <v>Ark: 50 × 0.524m | Panamax: typical</v>
      </c>
    </row>
    <row r="12" spans="1:4" ht="15" customHeight="1" x14ac:dyDescent="0.25">
      <c r="A12" s="11" t="s">
        <v>13</v>
      </c>
      <c r="B12" s="15">
        <f>'Wave Bending Moment'!B11</f>
        <v>0.87</v>
      </c>
      <c r="C12" s="15">
        <f>'Wave Bending Moment'!C11</f>
        <v>0.83</v>
      </c>
      <c r="D12" s="16" t="str">
        <f>'Wave Bending Moment'!D11</f>
        <v>Ark: CAD AR-003-20110418 | Panamax: typical</v>
      </c>
    </row>
    <row r="13" spans="1:4" ht="15" customHeight="1" x14ac:dyDescent="0.25">
      <c r="A13" s="11" t="s">
        <v>17</v>
      </c>
      <c r="B13" s="15">
        <f>'Wave Bending Moment'!B13</f>
        <v>9.0435549373038686</v>
      </c>
      <c r="C13" s="15">
        <f>'Wave Bending Moment'!C13</f>
        <v>10.100480947161671</v>
      </c>
      <c r="D13" s="16" t="str">
        <f>'Wave Bending Moment'!D13</f>
        <v>IACS UR S11 — valid 100 ≤ L ≤ 300m</v>
      </c>
    </row>
    <row r="15" spans="1:4" ht="15" customHeight="1" x14ac:dyDescent="0.25">
      <c r="A15" s="9" t="s">
        <v>19</v>
      </c>
    </row>
    <row r="16" spans="1:4" ht="15" customHeight="1" x14ac:dyDescent="0.25">
      <c r="A16" s="10"/>
      <c r="B16" s="10" t="s">
        <v>6</v>
      </c>
      <c r="C16" s="10" t="s">
        <v>7</v>
      </c>
      <c r="D16" s="10" t="s">
        <v>8</v>
      </c>
    </row>
    <row r="17" spans="1:4" ht="15" customHeight="1" x14ac:dyDescent="0.25">
      <c r="A17" s="11" t="s">
        <v>32</v>
      </c>
      <c r="B17" s="14">
        <f>30*B13*B10*B11*(B12+0.7)*0.01</f>
        <v>17543.40628738626</v>
      </c>
      <c r="C17" s="14">
        <f>30*C13*C10*C11*(C12+0.7)*0.01</f>
        <v>33588.69486814351</v>
      </c>
      <c r="D17" s="8" t="s">
        <v>33</v>
      </c>
    </row>
    <row r="18" spans="1:4" ht="15" customHeight="1" x14ac:dyDescent="0.25">
      <c r="A18" s="11" t="s">
        <v>34</v>
      </c>
      <c r="B18" s="14">
        <f>37*B13*B10*B11*(B12+0.7)*0.01</f>
        <v>21636.867754443054</v>
      </c>
      <c r="C18" s="14">
        <f>37*C13*C10*C11*(C12+0.7)*0.01</f>
        <v>41426.057004043672</v>
      </c>
      <c r="D18" s="8" t="s">
        <v>35</v>
      </c>
    </row>
    <row r="19" spans="1:4" ht="15" customHeight="1" x14ac:dyDescent="0.25">
      <c r="A19" s="11" t="s">
        <v>36</v>
      </c>
      <c r="B19" s="14">
        <f>B17/1000</f>
        <v>17.543406287386262</v>
      </c>
      <c r="C19" s="14">
        <f>C17/1000</f>
        <v>33.588694868143513</v>
      </c>
      <c r="D19" s="8"/>
    </row>
    <row r="20" spans="1:4" ht="15" customHeight="1" x14ac:dyDescent="0.25">
      <c r="A20" s="11" t="s">
        <v>37</v>
      </c>
      <c r="B20" s="14">
        <f>B18/1000</f>
        <v>21.636867754443053</v>
      </c>
      <c r="C20" s="14">
        <f>C18/1000</f>
        <v>41.42605700404367</v>
      </c>
      <c r="D20" s="8"/>
    </row>
    <row r="22" spans="1:4" ht="15" customHeight="1" x14ac:dyDescent="0.25">
      <c r="A22" s="4" t="s">
        <v>38</v>
      </c>
      <c r="B22" s="4"/>
      <c r="C22" s="4"/>
      <c r="D22" s="4"/>
    </row>
  </sheetData>
  <mergeCells count="6">
    <mergeCell ref="A22:D22"/>
    <mergeCell ref="A1:D1"/>
    <mergeCell ref="A2:D2"/>
    <mergeCell ref="A4:D4"/>
    <mergeCell ref="A5:D5"/>
    <mergeCell ref="A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zoomScaleNormal="100" workbookViewId="0">
      <selection sqref="A1:D1"/>
    </sheetView>
  </sheetViews>
  <sheetFormatPr defaultColWidth="8.7109375" defaultRowHeight="15" x14ac:dyDescent="0.25"/>
  <cols>
    <col min="1" max="1" width="36" customWidth="1"/>
    <col min="2" max="3" width="16" customWidth="1"/>
    <col min="4" max="4" width="36" customWidth="1"/>
  </cols>
  <sheetData>
    <row r="1" spans="1:4" ht="15.75" customHeight="1" x14ac:dyDescent="0.25">
      <c r="A1" s="7" t="s">
        <v>39</v>
      </c>
      <c r="B1" s="7"/>
      <c r="C1" s="7"/>
      <c r="D1" s="7"/>
    </row>
    <row r="2" spans="1:4" ht="15" customHeight="1" x14ac:dyDescent="0.25">
      <c r="A2" s="6" t="s">
        <v>40</v>
      </c>
      <c r="B2" s="6"/>
      <c r="C2" s="6"/>
      <c r="D2" s="6"/>
    </row>
    <row r="4" spans="1:4" ht="15" customHeight="1" x14ac:dyDescent="0.25">
      <c r="A4" s="3" t="s">
        <v>41</v>
      </c>
      <c r="B4" s="3"/>
      <c r="C4" s="3"/>
      <c r="D4" s="3"/>
    </row>
    <row r="5" spans="1:4" ht="15" customHeight="1" x14ac:dyDescent="0.25">
      <c r="A5" s="4" t="s">
        <v>42</v>
      </c>
      <c r="B5" s="4"/>
      <c r="C5" s="4"/>
      <c r="D5" s="4"/>
    </row>
    <row r="7" spans="1:4" ht="15.75" customHeight="1" x14ac:dyDescent="0.25">
      <c r="A7" s="2" t="s">
        <v>43</v>
      </c>
      <c r="B7" s="2"/>
      <c r="C7" s="2"/>
      <c r="D7" s="2"/>
    </row>
    <row r="8" spans="1:4" ht="15" customHeight="1" x14ac:dyDescent="0.25">
      <c r="A8" s="10" t="s">
        <v>5</v>
      </c>
      <c r="B8" s="10" t="s">
        <v>44</v>
      </c>
      <c r="C8" s="10" t="s">
        <v>45</v>
      </c>
      <c r="D8" s="10" t="s">
        <v>8</v>
      </c>
    </row>
    <row r="9" spans="1:4" ht="15" customHeight="1" x14ac:dyDescent="0.25">
      <c r="A9" s="11" t="s">
        <v>46</v>
      </c>
      <c r="B9" s="17">
        <v>15.72</v>
      </c>
      <c r="C9" s="11" t="s">
        <v>47</v>
      </c>
      <c r="D9" s="8" t="s">
        <v>48</v>
      </c>
    </row>
    <row r="10" spans="1:4" ht="15" customHeight="1" x14ac:dyDescent="0.25">
      <c r="A10" s="11" t="s">
        <v>49</v>
      </c>
      <c r="B10" s="17">
        <v>26.2</v>
      </c>
      <c r="C10" s="11" t="s">
        <v>47</v>
      </c>
      <c r="D10" s="8" t="s">
        <v>50</v>
      </c>
    </row>
    <row r="11" spans="1:4" ht="15" customHeight="1" x14ac:dyDescent="0.25">
      <c r="A11" s="11" t="s">
        <v>51</v>
      </c>
      <c r="B11" s="17">
        <v>0.93899999999999995</v>
      </c>
      <c r="C11" s="11" t="s">
        <v>47</v>
      </c>
      <c r="D11" s="8" t="s">
        <v>52</v>
      </c>
    </row>
    <row r="12" spans="1:4" ht="15" customHeight="1" x14ac:dyDescent="0.25">
      <c r="A12" s="11" t="s">
        <v>53</v>
      </c>
      <c r="B12" s="15">
        <f>'Wave Shear Force'!B18</f>
        <v>21636.867754443054</v>
      </c>
      <c r="C12" s="11" t="s">
        <v>54</v>
      </c>
      <c r="D12" s="8" t="s">
        <v>55</v>
      </c>
    </row>
    <row r="14" spans="1:4" ht="15.75" customHeight="1" x14ac:dyDescent="0.25">
      <c r="A14" s="2" t="s">
        <v>56</v>
      </c>
      <c r="B14" s="2"/>
      <c r="C14" s="2"/>
      <c r="D14" s="2"/>
    </row>
    <row r="15" spans="1:4" ht="15" customHeight="1" x14ac:dyDescent="0.25">
      <c r="A15" s="10" t="s">
        <v>57</v>
      </c>
      <c r="B15" s="10" t="s">
        <v>58</v>
      </c>
      <c r="C15" s="10" t="s">
        <v>45</v>
      </c>
      <c r="D15" s="10" t="s">
        <v>8</v>
      </c>
    </row>
    <row r="16" spans="1:4" ht="15" customHeight="1" x14ac:dyDescent="0.25">
      <c r="A16" s="11" t="s">
        <v>59</v>
      </c>
      <c r="B16" s="18">
        <f>(1/12)*B10*B9^3-(1/12)*(B10-2*B11)*(B9-2*B11)^3</f>
        <v>3106.150866168372</v>
      </c>
      <c r="C16" s="11" t="s">
        <v>60</v>
      </c>
      <c r="D16" s="8" t="s">
        <v>61</v>
      </c>
    </row>
    <row r="17" spans="1:4" ht="15" customHeight="1" x14ac:dyDescent="0.25">
      <c r="A17" s="11" t="s">
        <v>62</v>
      </c>
      <c r="B17" s="18">
        <f>B10*B11*(B9/2-B11/2)</f>
        <v>181.81960289999998</v>
      </c>
      <c r="C17" s="11" t="s">
        <v>63</v>
      </c>
      <c r="D17" s="8" t="s">
        <v>64</v>
      </c>
    </row>
    <row r="18" spans="1:4" ht="15" customHeight="1" x14ac:dyDescent="0.25">
      <c r="A18" s="11" t="s">
        <v>65</v>
      </c>
      <c r="B18" s="18">
        <f>B10*B11*(B9/2-B11/2)+2*B11*(B9/2-B11)*(B9/4-B11/2)</f>
        <v>226.79792919899998</v>
      </c>
      <c r="C18" s="11" t="s">
        <v>63</v>
      </c>
      <c r="D18" s="8" t="s">
        <v>66</v>
      </c>
    </row>
    <row r="20" spans="1:4" ht="15.75" customHeight="1" x14ac:dyDescent="0.25">
      <c r="A20" s="2" t="s">
        <v>67</v>
      </c>
      <c r="B20" s="2"/>
      <c r="C20" s="2"/>
      <c r="D20" s="2"/>
    </row>
    <row r="21" spans="1:4" ht="15" customHeight="1" x14ac:dyDescent="0.25">
      <c r="A21" s="10" t="s">
        <v>68</v>
      </c>
      <c r="B21" s="10" t="s">
        <v>69</v>
      </c>
      <c r="C21" s="10" t="s">
        <v>70</v>
      </c>
      <c r="D21" s="10" t="s">
        <v>8</v>
      </c>
    </row>
    <row r="22" spans="1:4" ht="15" customHeight="1" x14ac:dyDescent="0.25">
      <c r="A22" s="11" t="s">
        <v>71</v>
      </c>
      <c r="B22" s="19">
        <f>B12*B17/B16</f>
        <v>1266.5214513438909</v>
      </c>
      <c r="C22" s="20">
        <f>B12*B17/B16/(2*B11)/1000</f>
        <v>0.67439906887321133</v>
      </c>
      <c r="D22" s="8" t="s">
        <v>72</v>
      </c>
    </row>
    <row r="23" spans="1:4" ht="15" customHeight="1" x14ac:dyDescent="0.25">
      <c r="A23" s="11" t="s">
        <v>73</v>
      </c>
      <c r="B23" s="19">
        <f>B12*B17/B16</f>
        <v>1266.5214513438909</v>
      </c>
      <c r="C23" s="20">
        <f>B12*B17/B16/(2*B11)/1000</f>
        <v>0.67439906887321133</v>
      </c>
      <c r="D23" s="8" t="s">
        <v>74</v>
      </c>
    </row>
    <row r="24" spans="1:4" ht="15" customHeight="1" x14ac:dyDescent="0.25">
      <c r="A24" s="11" t="s">
        <v>75</v>
      </c>
      <c r="B24" s="19">
        <f>B12*B18/B16</f>
        <v>1579.8320855913962</v>
      </c>
      <c r="C24" s="20">
        <f>B12*B18/B16/(2*B11)/1000</f>
        <v>0.84123114248743147</v>
      </c>
      <c r="D24" s="8" t="s">
        <v>76</v>
      </c>
    </row>
    <row r="26" spans="1:4" ht="15" customHeight="1" x14ac:dyDescent="0.25">
      <c r="A26" s="4" t="s">
        <v>77</v>
      </c>
      <c r="B26" s="4"/>
      <c r="C26" s="4"/>
      <c r="D26" s="4"/>
    </row>
    <row r="27" spans="1:4" ht="15" customHeight="1" x14ac:dyDescent="0.25">
      <c r="A27" s="4" t="s">
        <v>78</v>
      </c>
      <c r="B27" s="4"/>
      <c r="C27" s="4"/>
      <c r="D27" s="4"/>
    </row>
  </sheetData>
  <mergeCells count="9">
    <mergeCell ref="A14:D14"/>
    <mergeCell ref="A20:D20"/>
    <mergeCell ref="A26:D26"/>
    <mergeCell ref="A27:D27"/>
    <mergeCell ref="A1:D1"/>
    <mergeCell ref="A2:D2"/>
    <mergeCell ref="A4:D4"/>
    <mergeCell ref="A5:D5"/>
    <mergeCell ref="A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2"/>
  <sheetViews>
    <sheetView tabSelected="1" zoomScale="80" zoomScaleNormal="80" workbookViewId="0">
      <selection activeCell="O17" sqref="O17"/>
    </sheetView>
  </sheetViews>
  <sheetFormatPr defaultColWidth="8.7109375" defaultRowHeight="15" x14ac:dyDescent="0.25"/>
  <cols>
    <col min="1" max="1" width="32" customWidth="1"/>
    <col min="2" max="4" width="16" customWidth="1"/>
    <col min="5" max="5" width="36" customWidth="1"/>
  </cols>
  <sheetData>
    <row r="1" spans="1:5" ht="16.5" x14ac:dyDescent="0.25">
      <c r="A1" s="7" t="s">
        <v>79</v>
      </c>
      <c r="B1" s="7"/>
      <c r="C1" s="7"/>
      <c r="D1" s="7"/>
      <c r="E1" s="7"/>
    </row>
    <row r="2" spans="1:5" x14ac:dyDescent="0.25">
      <c r="A2" s="6" t="s">
        <v>80</v>
      </c>
      <c r="B2" s="6"/>
      <c r="C2" s="6"/>
      <c r="D2" s="6"/>
      <c r="E2" s="6"/>
    </row>
    <row r="4" spans="1:5" x14ac:dyDescent="0.25">
      <c r="A4" s="1" t="s">
        <v>4</v>
      </c>
      <c r="B4" s="1"/>
      <c r="C4" s="1"/>
      <c r="D4" s="1"/>
      <c r="E4" s="1"/>
    </row>
    <row r="5" spans="1:5" x14ac:dyDescent="0.25">
      <c r="A5" s="10" t="s">
        <v>5</v>
      </c>
      <c r="B5" s="10" t="s">
        <v>44</v>
      </c>
      <c r="C5" s="10" t="s">
        <v>45</v>
      </c>
      <c r="D5" s="10" t="s">
        <v>8</v>
      </c>
    </row>
    <row r="6" spans="1:5" x14ac:dyDescent="0.25">
      <c r="A6" s="11" t="s">
        <v>81</v>
      </c>
      <c r="B6" s="12">
        <v>26.2</v>
      </c>
      <c r="C6" s="11" t="s">
        <v>47</v>
      </c>
      <c r="D6" s="8" t="s">
        <v>82</v>
      </c>
    </row>
    <row r="7" spans="1:5" x14ac:dyDescent="0.25">
      <c r="A7" s="11" t="s">
        <v>83</v>
      </c>
      <c r="B7" s="12">
        <v>15.72</v>
      </c>
      <c r="C7" s="11" t="s">
        <v>47</v>
      </c>
      <c r="D7" s="8" t="s">
        <v>48</v>
      </c>
    </row>
    <row r="8" spans="1:5" x14ac:dyDescent="0.25">
      <c r="A8" s="11" t="s">
        <v>84</v>
      </c>
      <c r="B8" s="12">
        <v>7.86</v>
      </c>
      <c r="C8" s="11" t="s">
        <v>47</v>
      </c>
      <c r="D8" s="8" t="s">
        <v>85</v>
      </c>
    </row>
    <row r="9" spans="1:5" x14ac:dyDescent="0.25">
      <c r="A9" s="11" t="s">
        <v>86</v>
      </c>
      <c r="B9" s="12">
        <v>9.52</v>
      </c>
      <c r="C9" s="11" t="s">
        <v>47</v>
      </c>
      <c r="D9" s="8" t="s">
        <v>87</v>
      </c>
    </row>
    <row r="10" spans="1:5" x14ac:dyDescent="0.25">
      <c r="A10" s="11" t="s">
        <v>88</v>
      </c>
      <c r="B10" s="12">
        <v>1.0249999999999999</v>
      </c>
      <c r="C10" s="11" t="s">
        <v>89</v>
      </c>
      <c r="D10" s="8"/>
    </row>
    <row r="11" spans="1:5" x14ac:dyDescent="0.25">
      <c r="A11" s="11" t="s">
        <v>90</v>
      </c>
      <c r="B11" s="12">
        <v>2</v>
      </c>
      <c r="C11" s="11" t="s">
        <v>91</v>
      </c>
      <c r="D11" s="8" t="s">
        <v>92</v>
      </c>
    </row>
    <row r="13" spans="1:5" x14ac:dyDescent="0.25">
      <c r="A13" s="1" t="s">
        <v>93</v>
      </c>
      <c r="B13" s="1"/>
      <c r="C13" s="1"/>
      <c r="D13" s="1"/>
      <c r="E13" s="1"/>
    </row>
    <row r="14" spans="1:5" x14ac:dyDescent="0.25">
      <c r="A14" s="11" t="s">
        <v>94</v>
      </c>
      <c r="B14" s="13">
        <f>B7-B8</f>
        <v>7.86</v>
      </c>
      <c r="C14" s="11" t="s">
        <v>47</v>
      </c>
      <c r="D14" s="8" t="s">
        <v>95</v>
      </c>
    </row>
    <row r="15" spans="1:5" x14ac:dyDescent="0.25">
      <c r="A15" s="11" t="s">
        <v>96</v>
      </c>
      <c r="B15" s="13">
        <f>B8-B9</f>
        <v>-1.6599999999999993</v>
      </c>
      <c r="C15" s="11" t="s">
        <v>47</v>
      </c>
      <c r="D15" s="8" t="s">
        <v>97</v>
      </c>
    </row>
    <row r="16" spans="1:5" x14ac:dyDescent="0.25">
      <c r="A16" s="11" t="s">
        <v>98</v>
      </c>
      <c r="B16" s="13">
        <f>DEGREES(ATAN(2*(B7-B8)/B6))</f>
        <v>30.963756532073528</v>
      </c>
      <c r="C16" s="11" t="s">
        <v>91</v>
      </c>
      <c r="D16" s="8" t="s">
        <v>99</v>
      </c>
    </row>
    <row r="17" spans="1:5" x14ac:dyDescent="0.25">
      <c r="A17" s="11" t="s">
        <v>100</v>
      </c>
      <c r="B17" s="13">
        <f>B6*B8*B10</f>
        <v>211.08029999999999</v>
      </c>
      <c r="C17" s="11" t="s">
        <v>101</v>
      </c>
      <c r="D17" s="8" t="s">
        <v>102</v>
      </c>
    </row>
    <row r="18" spans="1:5" x14ac:dyDescent="0.25">
      <c r="A18" s="11" t="s">
        <v>103</v>
      </c>
      <c r="B18" s="13">
        <f>B6^2/(12*B8)-(B9-B8/2)</f>
        <v>1.6877777777777769</v>
      </c>
      <c r="C18" s="11" t="s">
        <v>47</v>
      </c>
      <c r="D18" s="8" t="s">
        <v>104</v>
      </c>
    </row>
    <row r="20" spans="1:5" x14ac:dyDescent="0.25">
      <c r="A20" s="1" t="s">
        <v>105</v>
      </c>
      <c r="B20" s="1"/>
      <c r="C20" s="1"/>
      <c r="D20" s="1"/>
      <c r="E20" s="1"/>
    </row>
    <row r="21" spans="1:5" x14ac:dyDescent="0.25">
      <c r="A21" s="10" t="s">
        <v>106</v>
      </c>
      <c r="B21" s="10" t="s">
        <v>107</v>
      </c>
      <c r="C21" s="10" t="s">
        <v>108</v>
      </c>
      <c r="D21" s="10" t="s">
        <v>109</v>
      </c>
      <c r="E21" s="10" t="s">
        <v>8</v>
      </c>
    </row>
    <row r="22" spans="1:5" x14ac:dyDescent="0.25">
      <c r="A22" s="21">
        <f>B11*0</f>
        <v>0</v>
      </c>
      <c r="B22" s="22">
        <f>(B6^2*TAN(RADIANS(B11*0)))/(12*B8)</f>
        <v>0</v>
      </c>
      <c r="C22" s="22">
        <f>(0.5*(B8-B6/2*TAN(RADIANS(B11*0)))^2*B6)/(B6*B8)+(B6^3*TAN(RADIANS(B11*0))^2*(B8-B6/2*TAN(RADIANS(B11*0))))/(6*B6*B8)</f>
        <v>3.9299999999999997</v>
      </c>
      <c r="D22" s="22">
        <f>B22*COS(RADIANS(B11*0))+B15*SIN(RADIANS(B11*0))-(B8-C22)*SIN(RADIANS(B11*0))</f>
        <v>0</v>
      </c>
      <c r="E22" s="23" t="s">
        <v>110</v>
      </c>
    </row>
    <row r="23" spans="1:5" x14ac:dyDescent="0.25">
      <c r="A23" s="21">
        <f>B11*1</f>
        <v>2</v>
      </c>
      <c r="B23" s="22">
        <f>(B6^2*TAN(RADIANS(B11*1)))/(12*B8)</f>
        <v>0.25414560018994176</v>
      </c>
      <c r="C23" s="22">
        <f>(0.5*(B8-B6/2*TAN(RADIANS(B11*1)))^2*B6)/(B6*B8)+(B6^3*TAN(RADIANS(B11*1))^2*(B8-B6/2*TAN(RADIANS(B11*1))))/(6*B6*B8)</f>
        <v>3.6172448142502742</v>
      </c>
      <c r="D23" s="22">
        <f>B23*COS(RADIANS(B11*1))+B15*SIN(RADIANS(B11*1))-(B8-C23)*SIN(RADIANS(B11*1))</f>
        <v>4.7987596416347367E-2</v>
      </c>
      <c r="E23" s="23" t="str">
        <f>IF(B11*1&gt;B16,"⚠ beyond deck edge","")</f>
        <v/>
      </c>
    </row>
    <row r="24" spans="1:5" x14ac:dyDescent="0.25">
      <c r="A24" s="21">
        <f>B11*2</f>
        <v>4</v>
      </c>
      <c r="B24" s="22">
        <f>(B6^2*TAN(RADIANS(B11*2)))/(12*B8)</f>
        <v>0.50891179803332576</v>
      </c>
      <c r="C24" s="22">
        <f>(0.5*(B8-B6/2*TAN(RADIANS(B11*2)))^2*B6)/(B6*B8)+(B6^3*TAN(RADIANS(B11*2))^2*(B8-B6/2*TAN(RADIANS(B11*2))))/(6*B6*B8)</f>
        <v>3.5615621154481354</v>
      </c>
      <c r="D24" s="22">
        <f>B24*COS(RADIANS(B11*2))+B15*SIN(RADIANS(B11*2))-(B8-C24)*SIN(RADIANS(B11*2))</f>
        <v>9.2032498621390457E-2</v>
      </c>
      <c r="E24" s="23" t="str">
        <f>IF(B11*2&gt;B16,"⚠ beyond deck edge","")</f>
        <v/>
      </c>
    </row>
    <row r="25" spans="1:5" x14ac:dyDescent="0.25">
      <c r="A25" s="21">
        <f>B11*3</f>
        <v>6</v>
      </c>
      <c r="B25" s="22">
        <f>(B6^2*TAN(RADIANS(B11*3)))/(12*B8)</f>
        <v>0.76492526776686753</v>
      </c>
      <c r="C25" s="22">
        <f>(0.5*(B8-B6/2*TAN(RADIANS(B11*3)))^2*B6)/(B6*B8)+(B6^3*TAN(RADIANS(B11*3))^2*(B8-B6/2*TAN(RADIANS(B11*3))))/(6*B6*B8)</f>
        <v>3.7161774904873202</v>
      </c>
      <c r="D25" s="22">
        <f>B25*COS(RADIANS(B11*3))+B15*SIN(RADIANS(B11*3))-(B8-C25)*SIN(RADIANS(B11*3))</f>
        <v>0.15407027911701254</v>
      </c>
      <c r="E25" s="23" t="str">
        <f>IF(B11*3&gt;B16,"⚠ beyond deck edge","")</f>
        <v/>
      </c>
    </row>
    <row r="26" spans="1:5" x14ac:dyDescent="0.25">
      <c r="A26" s="21">
        <f>B11*4</f>
        <v>8</v>
      </c>
      <c r="B26" s="22">
        <f>(B6^2*TAN(RADIANS(B11*4)))/(12*B8)</f>
        <v>1.0228249636674043</v>
      </c>
      <c r="C26" s="22">
        <f>(0.5*(B8-B6/2*TAN(RADIANS(B11*4)))^2*B6)/(B6*B8)+(B6^3*TAN(RADIANS(B11*4))^2*(B8-B6/2*TAN(RADIANS(B11*4))))/(6*B6*B8)</f>
        <v>4.0349601975451579</v>
      </c>
      <c r="D26" s="22">
        <f>B26*COS(RADIANS(B11*4))+B15*SIN(RADIANS(B11*4))-(B8-C26)*SIN(RADIANS(B11*4))</f>
        <v>0.2495009032345622</v>
      </c>
      <c r="E26" s="23" t="str">
        <f>IF(B11*4&gt;B16,"⚠ beyond deck edge","")</f>
        <v/>
      </c>
    </row>
    <row r="27" spans="1:5" x14ac:dyDescent="0.25">
      <c r="A27" s="21">
        <f>B11*5</f>
        <v>10</v>
      </c>
      <c r="B27" s="22">
        <f>(B6^2*TAN(RADIANS(B11*5)))/(12*B8)</f>
        <v>1.283268581822717</v>
      </c>
      <c r="C27" s="22">
        <f>(0.5*(B8-B6/2*TAN(RADIANS(B11*5)))^2*B6)/(B6*B8)+(B6^3*TAN(RADIANS(B11*5))^2*(B8-B6/2*TAN(RADIANS(B11*5))))/(6*B6*B8)</f>
        <v>4.4712327169553818</v>
      </c>
      <c r="D27" s="22">
        <f>B27*COS(RADIANS(B11*5))+B15*SIN(RADIANS(B11*5))-(B8-C27)*SIN(RADIANS(B11*5))</f>
        <v>0.38706361041087578</v>
      </c>
      <c r="E27" s="23" t="str">
        <f>IF(B11*5&gt;B16,"⚠ beyond deck edge","")</f>
        <v/>
      </c>
    </row>
    <row r="28" spans="1:5" x14ac:dyDescent="0.25">
      <c r="A28" s="21">
        <f>B11*6</f>
        <v>12</v>
      </c>
      <c r="B28" s="22">
        <f>(B6^2*TAN(RADIANS(B11*6)))/(12*B8)</f>
        <v>1.5469394210429386</v>
      </c>
      <c r="C28" s="22">
        <f>(0.5*(B8-B6/2*TAN(RADIANS(B11*6)))^2*B6)/(B6*B8)+(B6^3*TAN(RADIANS(B11*6))^2*(B8-B6/2*TAN(RADIANS(B11*6))))/(6*B6*B8)</f>
        <v>4.9765050503936914</v>
      </c>
      <c r="D28" s="22">
        <f>B28*COS(RADIANS(B11*6))+B15*SIN(RADIANS(B11*6))-(B8-C28)*SIN(RADIANS(B11*6))</f>
        <v>0.56848936597909494</v>
      </c>
      <c r="E28" s="23" t="str">
        <f>IF(B11*6&gt;B16,"⚠ beyond deck edge","")</f>
        <v/>
      </c>
    </row>
    <row r="29" spans="1:5" x14ac:dyDescent="0.25">
      <c r="A29" s="21">
        <f>B11*7</f>
        <v>14</v>
      </c>
      <c r="B29" s="22">
        <f>(B6^2*TAN(RADIANS(B11*7)))/(12*B8)</f>
        <v>1.8145537984698146</v>
      </c>
      <c r="C29" s="22">
        <f>(0.5*(B8-B6/2*TAN(RADIANS(B11*7)))^2*B6)/(B6*B8)+(B6^3*TAN(RADIANS(B11*7))^2*(B8-B6/2*TAN(RADIANS(B11*7))))/(6*B6*B8)</f>
        <v>5.4990801264864277</v>
      </c>
      <c r="D29" s="22">
        <f>B29*COS(RADIANS(B11*7))+B15*SIN(RADIANS(B11*7))-(B8-C29)*SIN(RADIANS(B11*7))</f>
        <v>0.78790523789835742</v>
      </c>
      <c r="E29" s="23" t="str">
        <f>IF(B11*7&gt;B16,"⚠ beyond deck edge","")</f>
        <v/>
      </c>
    </row>
    <row r="30" spans="1:5" x14ac:dyDescent="0.25">
      <c r="A30" s="21">
        <f>B11*8</f>
        <v>16</v>
      </c>
      <c r="B30" s="22">
        <f>(B6^2*TAN(RADIANS(B11*8)))/(12*B8)</f>
        <v>2.0868691963557686</v>
      </c>
      <c r="C30" s="22">
        <f>(0.5*(B8-B6/2*TAN(RADIANS(B11*8)))^2*B6)/(B6*B8)+(B6^3*TAN(RADIANS(B11*8))^2*(B8-B6/2*TAN(RADIANS(B11*8))))/(6*B6*B8)</f>
        <v>5.9824674433727871</v>
      </c>
      <c r="D30" s="22">
        <f>B30*COS(RADIANS(B11*8))+B15*SIN(RADIANS(B11*8))-(B8-C30)*SIN(RADIANS(B11*8))</f>
        <v>1.0309513028651089</v>
      </c>
      <c r="E30" s="23" t="str">
        <f>IF(B11*8&gt;B16,"⚠ beyond deck edge","")</f>
        <v/>
      </c>
    </row>
    <row r="31" spans="1:5" x14ac:dyDescent="0.25">
      <c r="A31" s="21">
        <f>B11*9</f>
        <v>18</v>
      </c>
      <c r="B31" s="22">
        <f>(B6^2*TAN(RADIANS(B11*9)))/(12*B8)</f>
        <v>2.3646933448061511</v>
      </c>
      <c r="C31" s="22">
        <f>(0.5*(B8-B6/2*TAN(RADIANS(B11*9)))^2*B6)/(B6*B8)+(B6^3*TAN(RADIANS(B11*9))^2*(B8-B6/2*TAN(RADIANS(B11*9))))/(6*B6*B8)</f>
        <v>6.3635285591260669</v>
      </c>
      <c r="D31" s="22">
        <f>B31*COS(RADIANS(B11*9))+B15*SIN(RADIANS(B11*9))-(B8-C31)*SIN(RADIANS(B11*9))</f>
        <v>1.27355369712845</v>
      </c>
      <c r="E31" s="23" t="str">
        <f>IF(B11*9&gt;B16,"⚠ beyond deck edge","")</f>
        <v/>
      </c>
    </row>
    <row r="32" spans="1:5" x14ac:dyDescent="0.25">
      <c r="A32" s="21">
        <f>B11*10</f>
        <v>20</v>
      </c>
      <c r="B32" s="22">
        <f>(B6^2*TAN(RADIANS(B11*10)))/(12*B8)</f>
        <v>2.6488944827151388</v>
      </c>
      <c r="C32" s="22">
        <f>(0.5*(B8-B6/2*TAN(RADIANS(B11*10)))^2*B6)/(B6*B8)+(B6^3*TAN(RADIANS(B11*10))^2*(B8-B6/2*TAN(RADIANS(B11*10))))/(6*B6*B8)</f>
        <v>6.5702589557162945</v>
      </c>
      <c r="D32" s="22">
        <f>B32*COS(RADIANS(B11*10))+B15*SIN(RADIANS(B11*10))-(B8-C32)*SIN(RADIANS(B11*10))</f>
        <v>1.4802757439084018</v>
      </c>
      <c r="E32" s="23" t="str">
        <f>IF(B11*10&gt;B16,"⚠ beyond deck edge","")</f>
        <v/>
      </c>
    </row>
    <row r="33" spans="1:5" x14ac:dyDescent="0.25">
      <c r="A33" s="21">
        <f>B11*11</f>
        <v>22</v>
      </c>
      <c r="B33" s="22">
        <f>(B6^2*TAN(RADIANS(B11*11)))/(12*B8)</f>
        <v>2.9404130880225297</v>
      </c>
      <c r="C33" s="22">
        <f>(0.5*(B8-B6/2*TAN(RADIANS(B11*11)))^2*B6)/(B6*B8)+(B6^3*TAN(RADIANS(B11*11))^2*(B8-B6/2*TAN(RADIANS(B11*11))))/(6*B6*B8)</f>
        <v>6.5190843003476049</v>
      </c>
      <c r="D33" s="22">
        <f>B33*COS(RADIANS(B11*11))+B15*SIN(RADIANS(B11*11))-(B8-C33)*SIN(RADIANS(B11*11))</f>
        <v>1.6021407335962476</v>
      </c>
      <c r="E33" s="23" t="str">
        <f>IF(B11*11&gt;B16,"⚠ beyond deck edge","")</f>
        <v/>
      </c>
    </row>
    <row r="34" spans="1:5" x14ac:dyDescent="0.25">
      <c r="A34" s="21">
        <f>B11*12</f>
        <v>24</v>
      </c>
      <c r="B34" s="22">
        <f>(B6^2*TAN(RADIANS(B11*12)))/(12*B8)</f>
        <v>3.2402754319676799</v>
      </c>
      <c r="C34" s="22">
        <f>(0.5*(B8-B6/2*TAN(RADIANS(B11*12)))^2*B6)/(B6*B8)+(B6^3*TAN(RADIANS(B11*12))^2*(B8-B6/2*TAN(RADIANS(B11*12))))/(6*B6*B8)</f>
        <v>6.1115125403838988</v>
      </c>
      <c r="D34" s="22">
        <f>B34*COS(RADIANS(B11*12))+B15*SIN(RADIANS(B11*12))-(B8-C34)*SIN(RADIANS(B11*12))</f>
        <v>1.5737821550947757</v>
      </c>
      <c r="E34" s="23" t="str">
        <f>IF(B11*12&gt;B16,"⚠ beyond deck edge","")</f>
        <v/>
      </c>
    </row>
    <row r="35" spans="1:5" x14ac:dyDescent="0.25">
      <c r="A35" s="21">
        <f>B11*13</f>
        <v>26</v>
      </c>
      <c r="B35" s="22">
        <f>(B6^2*TAN(RADIANS(B11*13)))/(12*B8)</f>
        <v>3.5496093945626574</v>
      </c>
      <c r="C35" s="22">
        <f>(0.5*(B8-B6/2*TAN(RADIANS(B11*13)))^2*B6)/(B6*B8)+(B6^3*TAN(RADIANS(B11*13))^2*(B8-B6/2*TAN(RADIANS(B11*13))))/(6*B6*B8)</f>
        <v>5.229932744618508</v>
      </c>
      <c r="D35" s="22">
        <f>B35*COS(RADIANS(B11*13))+B15*SIN(RADIANS(B11*13))-(B8-C35)*SIN(RADIANS(B11*13))</f>
        <v>1.3097260879766532</v>
      </c>
      <c r="E35" s="23" t="str">
        <f>IF(B11*13&gt;B16,"⚠ beyond deck edge","")</f>
        <v/>
      </c>
    </row>
    <row r="36" spans="1:5" x14ac:dyDescent="0.25">
      <c r="A36" s="21">
        <f>B11*14</f>
        <v>28</v>
      </c>
      <c r="B36" s="22">
        <f>(B6^2*TAN(RADIANS(B11*14)))/(12*B8)</f>
        <v>3.8696630859807613</v>
      </c>
      <c r="C36" s="22">
        <f>(0.5*(B8-B6/2*TAN(RADIANS(B11*14)))^2*B6)/(B6*B8)+(B6^3*TAN(RADIANS(B11*14))^2*(B8-B6/2*TAN(RADIANS(B11*14))))/(6*B6*B8)</f>
        <v>3.7322815637091824</v>
      </c>
      <c r="D36" s="22">
        <f>B36*COS(RADIANS(B11*14))+B15*SIN(RADIANS(B11*14))-(B8-C36)*SIN(RADIANS(B11*14))</f>
        <v>0.69954048769159805</v>
      </c>
      <c r="E36" s="23" t="str">
        <f>IF(B11*14&gt;B16,"⚠ beyond deck edge","")</f>
        <v/>
      </c>
    </row>
    <row r="37" spans="1:5" x14ac:dyDescent="0.25">
      <c r="A37" s="21">
        <f>B11*15</f>
        <v>30</v>
      </c>
      <c r="B37" s="22">
        <f>(B6^2*TAN(RADIANS(B11*15)))/(12*B8)</f>
        <v>4.2018269591022754</v>
      </c>
      <c r="C37" s="22">
        <f>(0.5*(B8-B6/2*TAN(RADIANS(B11*15)))^2*B6)/(B6*B8)+(B6^3*TAN(RADIANS(B11*15))^2*(B8-B6/2*TAN(RADIANS(B11*15))))/(6*B6*B8)</f>
        <v>1.4452004752338028</v>
      </c>
      <c r="D37" s="22">
        <f>B37*COS(RADIANS(B11*15))+B15*SIN(RADIANS(B11*15))-(B8-C37)*SIN(RADIANS(B11*15))</f>
        <v>-0.39851087349420933</v>
      </c>
      <c r="E37" s="23" t="str">
        <f>IF(B11*15&gt;B16,"⚠ beyond deck edge","")</f>
        <v/>
      </c>
    </row>
    <row r="38" spans="1:5" x14ac:dyDescent="0.25">
      <c r="A38" s="21">
        <f>B11*16</f>
        <v>32</v>
      </c>
      <c r="B38" s="22">
        <f>(B6^2*TAN(RADIANS(B11*16)))/(12*B8)</f>
        <v>4.5476602833401047</v>
      </c>
      <c r="C38" s="22">
        <f>(0.5*(B8-B6/2*TAN(RADIANS(B11*16)))^2*B6)/(B6*B8)+(B6^3*TAN(RADIANS(B11*16))^2*(B8-B6/2*TAN(RADIANS(B11*16))))/(6*B6*B8)</f>
        <v>-1.8448304137570399</v>
      </c>
      <c r="D38" s="22">
        <f>B38*COS(RADIANS(B11*16))+B15*SIN(RADIANS(B11*16))-(B8-C38)*SIN(RADIANS(B11*16))</f>
        <v>-2.165807925740511</v>
      </c>
      <c r="E38" s="23" t="str">
        <f>IF(B11*16&gt;B16,"⚠ beyond deck edge","")</f>
        <v>⚠ beyond deck edge</v>
      </c>
    </row>
    <row r="39" spans="1:5" x14ac:dyDescent="0.25">
      <c r="A39" s="21">
        <f>B11*17</f>
        <v>34</v>
      </c>
      <c r="B39" s="22">
        <f>(B6^2*TAN(RADIANS(B11*17)))/(12*B8)</f>
        <v>4.908923094797661</v>
      </c>
      <c r="C39" s="22">
        <f>(0.5*(B8-B6/2*TAN(RADIANS(B11*17)))^2*B6)/(B6*B8)+(B6^3*TAN(RADIANS(B11*17))^2*(B8-B6/2*TAN(RADIANS(B11*17))))/(6*B6*B8)</f>
        <v>-6.403091222041625</v>
      </c>
      <c r="D39" s="22">
        <f>B39*COS(RADIANS(B11*17))+B15*SIN(RADIANS(B11*17))-(B8-C39)*SIN(RADIANS(B11*17))</f>
        <v>-4.8343979263125849</v>
      </c>
      <c r="E39" s="23" t="str">
        <f>IF(B11*17&gt;B16,"⚠ beyond deck edge","")</f>
        <v>⚠ beyond deck edge</v>
      </c>
    </row>
    <row r="40" spans="1:5" x14ac:dyDescent="0.25">
      <c r="A40" s="21">
        <f>B11*18</f>
        <v>36</v>
      </c>
      <c r="B40" s="22">
        <f>(B6^2*TAN(RADIANS(B11*18)))/(12*B8)</f>
        <v>5.2876150649279037</v>
      </c>
      <c r="C40" s="22">
        <f>(0.5*(B8-B6/2*TAN(RADIANS(B11*18)))^2*B6)/(B6*B8)+(B6^3*TAN(RADIANS(B11*18))^2*(B8-B6/2*TAN(RADIANS(B11*18))))/(6*B6*B8)</f>
        <v>-12.561942616944579</v>
      </c>
      <c r="D40" s="22">
        <f>B40*COS(RADIANS(B11*18))+B15*SIN(RADIANS(B11*18))-(B8-C40)*SIN(RADIANS(B11*18))</f>
        <v>-8.7016697649690187</v>
      </c>
      <c r="E40" s="23" t="str">
        <f>IF(B11*18&gt;B16,"⚠ beyond deck edge","")</f>
        <v>⚠ beyond deck edge</v>
      </c>
    </row>
    <row r="41" spans="1:5" x14ac:dyDescent="0.25">
      <c r="A41" s="21">
        <f>B11*19</f>
        <v>38</v>
      </c>
      <c r="B41" s="22">
        <f>(B6^2*TAN(RADIANS(B11*19)))/(12*B8)</f>
        <v>5.6860231706877755</v>
      </c>
      <c r="C41" s="22">
        <f>(0.5*(B8-B6/2*TAN(RADIANS(B11*19)))^2*B6)/(B6*B8)+(B6^3*TAN(RADIANS(B11*19))^2*(B8-B6/2*TAN(RADIANS(B11*19))))/(6*B6*B8)</f>
        <v>-20.741261874656157</v>
      </c>
      <c r="D41" s="22">
        <f>B41*COS(RADIANS(B11*19))+B15*SIN(RADIANS(B11*19))-(B8-C41)*SIN(RADIANS(B11*19))</f>
        <v>-14.150045727207949</v>
      </c>
      <c r="E41" s="23" t="str">
        <f>IF(B11*19&gt;B16,"⚠ beyond deck edge","")</f>
        <v>⚠ beyond deck edge</v>
      </c>
    </row>
    <row r="42" spans="1:5" x14ac:dyDescent="0.25">
      <c r="A42" s="21">
        <f>B11*20</f>
        <v>40</v>
      </c>
      <c r="B42" s="22">
        <f>(B6^2*TAN(RADIANS(B11*20)))/(12*B8)</f>
        <v>6.1067806491235359</v>
      </c>
      <c r="C42" s="22">
        <f>(0.5*(B8-B6/2*TAN(RADIANS(B11*20)))^2*B6)/(B6*B8)+(B6^3*TAN(RADIANS(B11*20))^2*(B8-B6/2*TAN(RADIANS(B11*20))))/(6*B6*B8)</f>
        <v>-31.475984183086879</v>
      </c>
      <c r="D42" s="22">
        <f>B42*COS(RADIANS(B11*20))+B15*SIN(RADIANS(B11*20))-(B8-C42)*SIN(RADIANS(B11*20))</f>
        <v>-21.673645298185992</v>
      </c>
      <c r="E42" s="23" t="str">
        <f>IF(B11*20&gt;B16,"⚠ beyond deck edge","")</f>
        <v>⚠ beyond deck edge</v>
      </c>
    </row>
    <row r="43" spans="1:5" x14ac:dyDescent="0.25">
      <c r="A43" s="21">
        <f>B11*21</f>
        <v>42</v>
      </c>
      <c r="B43" s="22">
        <f>(B6^2*TAN(RADIANS(B11*21)))/(12*B8)</f>
        <v>6.5529405446120563</v>
      </c>
      <c r="C43" s="22">
        <f>(0.5*(B8-B6/2*TAN(RADIANS(B11*21)))^2*B6)/(B6*B8)+(B6^3*TAN(RADIANS(B11*21))^2*(B8-B6/2*TAN(RADIANS(B11*21))))/(6*B6*B8)</f>
        <v>-45.453624173017253</v>
      </c>
      <c r="D43" s="22">
        <f>B43*COS(RADIANS(B11*21))+B15*SIN(RADIANS(B11*21))-(B8-C43)*SIN(RADIANS(B11*21))</f>
        <v>-31.914750619245556</v>
      </c>
      <c r="E43" s="23" t="str">
        <f>IF(B11*21&gt;B16,"⚠ beyond deck edge","")</f>
        <v>⚠ beyond deck edge</v>
      </c>
    </row>
    <row r="44" spans="1:5" x14ac:dyDescent="0.25">
      <c r="A44" s="21">
        <f>B11*22</f>
        <v>44</v>
      </c>
      <c r="B44" s="22">
        <f>(B6^2*TAN(RADIANS(B11*22)))/(12*B8)</f>
        <v>7.0280683055403701</v>
      </c>
      <c r="C44" s="22">
        <f>(0.5*(B8-B6/2*TAN(RADIANS(B11*22)))^2*B6)/(B6*B8)+(B6^3*TAN(RADIANS(B11*22))^2*(B8-B6/2*TAN(RADIANS(B11*22))))/(6*B6*B8)</f>
        <v>-63.56598889980782</v>
      </c>
      <c r="D44" s="22">
        <f>B44*COS(RADIANS(B11*22))+B15*SIN(RADIANS(B11*22))-(B8-C44)*SIN(RADIANS(B11*22))</f>
        <v>-45.714224700851048</v>
      </c>
      <c r="E44" s="23" t="str">
        <f>IF(B11*22&gt;B16,"⚠ beyond deck edge","")</f>
        <v>⚠ beyond deck edge</v>
      </c>
    </row>
    <row r="45" spans="1:5" x14ac:dyDescent="0.25">
      <c r="A45" s="21">
        <f>B11*23</f>
        <v>46</v>
      </c>
      <c r="B45" s="22">
        <f>(B6^2*TAN(RADIANS(B11*23)))/(12*B8)</f>
        <v>7.5363595059202551</v>
      </c>
      <c r="C45" s="22">
        <f>(0.5*(B8-B6/2*TAN(RADIANS(B11*23)))^2*B6)/(B6*B8)+(B6^3*TAN(RADIANS(B11*23))^2*(B8-B6/2*TAN(RADIANS(B11*23))))/(6*B6*B8)</f>
        <v>-86.981341383771337</v>
      </c>
      <c r="D45" s="22">
        <f>B45*COS(RADIANS(B11*23))+B15*SIN(RADIANS(B11*23))-(B8-C45)*SIN(RADIANS(B11*23))</f>
        <v>-64.182060429838344</v>
      </c>
      <c r="E45" s="23" t="str">
        <f>IF(B11*23&gt;B16,"⚠ beyond deck edge","")</f>
        <v>⚠ beyond deck edge</v>
      </c>
    </row>
    <row r="46" spans="1:5" x14ac:dyDescent="0.25">
      <c r="A46" s="21">
        <f>B11*24</f>
        <v>48</v>
      </c>
      <c r="B46" s="22">
        <f>(B6^2*TAN(RADIANS(B11*24)))/(12*B8)</f>
        <v>8.0827910801457925</v>
      </c>
      <c r="C46" s="22">
        <f>(0.5*(B8-B6/2*TAN(RADIANS(B11*24)))^2*B6)/(B6*B8)+(B6^3*TAN(RADIANS(B11*24))^2*(B8-B6/2*TAN(RADIANS(B11*24))))/(6*B6*B8)</f>
        <v>-117.24646540337186</v>
      </c>
      <c r="D46" s="22">
        <f>B46*COS(RADIANS(B11*24))+B15*SIN(RADIANS(B11*24))-(B8-C46)*SIN(RADIANS(B11*24))</f>
        <v>-88.797399912044995</v>
      </c>
      <c r="E46" s="23" t="str">
        <f>IF(B11*24&gt;B16,"⚠ beyond deck edge","")</f>
        <v>⚠ beyond deck edge</v>
      </c>
    </row>
    <row r="47" spans="1:5" x14ac:dyDescent="0.25">
      <c r="A47" s="21">
        <f>B11*25</f>
        <v>50</v>
      </c>
      <c r="B47" s="22">
        <f>(B6^2*TAN(RADIANS(B11*25)))/(12*B8)</f>
        <v>8.6733178127689712</v>
      </c>
      <c r="C47" s="22">
        <f>(0.5*(B8-B6/2*TAN(RADIANS(B11*25)))^2*B6)/(B6*B8)+(B6^3*TAN(RADIANS(B11*25))^2*(B8-B6/2*TAN(RADIANS(B11*25))))/(6*B6*B8)</f>
        <v>-156.43314763717626</v>
      </c>
      <c r="D47" s="22">
        <f>B47*COS(RADIANS(B11*25))+B15*SIN(RADIANS(B11*25))-(B8-C47)*SIN(RADIANS(B11*25))</f>
        <v>-121.5523853406408</v>
      </c>
      <c r="E47" s="23" t="str">
        <f>IF(B11*25&gt;B16,"⚠ beyond deck edge","")</f>
        <v>⚠ beyond deck edge</v>
      </c>
    </row>
    <row r="48" spans="1:5" x14ac:dyDescent="0.25">
      <c r="A48" s="21">
        <f>B11*26</f>
        <v>52</v>
      </c>
      <c r="B48" s="22">
        <f>(B6^2*TAN(RADIANS(B11*26)))/(12*B8)</f>
        <v>9.3151307676274051</v>
      </c>
      <c r="C48" s="22">
        <f>(0.5*(B8-B6/2*TAN(RADIANS(B11*26)))^2*B6)/(B6*B8)+(B6^3*TAN(RADIANS(B11*26))^2*(B8-B6/2*TAN(RADIANS(B11*26))))/(6*B6*B8)</f>
        <v>-207.35179370753133</v>
      </c>
      <c r="D48" s="22">
        <f>B48*COS(RADIANS(B11*26))+B15*SIN(RADIANS(B11*26))-(B8-C48)*SIN(RADIANS(B11*26))</f>
        <v>-165.16233844426441</v>
      </c>
      <c r="E48" s="23" t="str">
        <f>IF(B11*26&gt;B16,"⚠ beyond deck edge","")</f>
        <v>⚠ beyond deck edge</v>
      </c>
    </row>
    <row r="49" spans="1:5" x14ac:dyDescent="0.25">
      <c r="A49" s="21">
        <f>B11*27</f>
        <v>54</v>
      </c>
      <c r="B49" s="22">
        <f>(B6^2*TAN(RADIANS(B11*27)))/(12*B8)</f>
        <v>10.017001754540205</v>
      </c>
      <c r="C49" s="22">
        <f>(0.5*(B8-B6/2*TAN(RADIANS(B11*27)))^2*B6)/(B6*B8)+(B6^3*TAN(RADIANS(B11*27))^2*(B8-B6/2*TAN(RADIANS(B11*27))))/(6*B6*B8)</f>
        <v>-273.86846182244415</v>
      </c>
      <c r="D49" s="22">
        <f>B49*COS(RADIANS(B11*27))+B15*SIN(RADIANS(B11*27))-(B8-C49)*SIN(RADIANS(B11*27))</f>
        <v>-223.37823572062675</v>
      </c>
      <c r="E49" s="23" t="str">
        <f>IF(B11*27&gt;B16,"⚠ beyond deck edge","")</f>
        <v>⚠ beyond deck edge</v>
      </c>
    </row>
    <row r="50" spans="1:5" x14ac:dyDescent="0.25">
      <c r="A50" s="21">
        <f>B11*28</f>
        <v>56</v>
      </c>
      <c r="B50" s="22">
        <f>(B6^2*TAN(RADIANS(B11*28)))/(12*B8)</f>
        <v>10.789749270842719</v>
      </c>
      <c r="C50" s="22">
        <f>(0.5*(B8-B6/2*TAN(RADIANS(B11*28)))^2*B6)/(B6*B8)+(B6^3*TAN(RADIANS(B11*28))^2*(B8-B6/2*TAN(RADIANS(B11*28))))/(6*B6*B8)</f>
        <v>-361.38458533561544</v>
      </c>
      <c r="D50" s="22">
        <f>B50*COS(RADIANS(B11*28))+B15*SIN(RADIANS(B11*28))-(B8-C50)*SIN(RADIANS(B11*28))</f>
        <v>-301.46028585368902</v>
      </c>
      <c r="E50" s="23" t="str">
        <f>IF(B11*28&gt;B16,"⚠ beyond deck edge","")</f>
        <v>⚠ beyond deck edge</v>
      </c>
    </row>
    <row r="51" spans="1:5" x14ac:dyDescent="0.25">
      <c r="A51" s="21">
        <f>B11*29</f>
        <v>58</v>
      </c>
      <c r="B51" s="22">
        <f>(B6^2*TAN(RADIANS(B11*29)))/(12*B8)</f>
        <v>11.646879072465422</v>
      </c>
      <c r="C51" s="22">
        <f>(0.5*(B8-B6/2*TAN(RADIANS(B11*29)))^2*B6)/(B6*B8)+(B6^3*TAN(RADIANS(B11*29))^2*(B8-B6/2*TAN(RADIANS(B11*29))))/(6*B6*B8)</f>
        <v>-477.57864355223512</v>
      </c>
      <c r="D51" s="22">
        <f>B51*COS(RADIANS(B11*29))+B15*SIN(RADIANS(B11*29))-(B8-C51)*SIN(RADIANS(B11*29))</f>
        <v>-406.91117171615656</v>
      </c>
      <c r="E51" s="23" t="str">
        <f>IF(B11*29&gt;B16,"⚠ beyond deck edge","")</f>
        <v>⚠ beyond deck edge</v>
      </c>
    </row>
    <row r="52" spans="1:5" x14ac:dyDescent="0.25">
      <c r="A52" s="21">
        <f>B11*30</f>
        <v>60</v>
      </c>
      <c r="B52" s="22">
        <f>(B6^2*TAN(RADIANS(B11*30)))/(12*B8)</f>
        <v>12.605480877306825</v>
      </c>
      <c r="C52" s="22">
        <f>(0.5*(B8-B6/2*TAN(RADIANS(B11*30)))^2*B6)/(B6*B8)+(B6^3*TAN(RADIANS(B11*30))^2*(B8-B6/2*TAN(RADIANS(B11*30))))/(6*B6*B8)</f>
        <v>-633.58066253546849</v>
      </c>
      <c r="D52" s="22">
        <f>B52*COS(RADIANS(B11*30))+B15*SIN(RADIANS(B11*30))-(B8-C52)*SIN(RADIANS(B11*30))</f>
        <v>-550.63877050766575</v>
      </c>
      <c r="E52" s="23" t="str">
        <f>IF(B11*30&gt;B16,"⚠ beyond deck edge","")</f>
        <v>⚠ beyond deck edge</v>
      </c>
    </row>
  </sheetData>
  <mergeCells count="5">
    <mergeCell ref="A1:E1"/>
    <mergeCell ref="A2:E2"/>
    <mergeCell ref="A4:E4"/>
    <mergeCell ref="A13:E13"/>
    <mergeCell ref="A20:E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Metadata/LabelInfo.xml><?xml version="1.0" encoding="utf-8"?>
<clbl:labelList xmlns:clbl="http://schemas.microsoft.com/office/2020/mipLabelMetadata">
  <clbl:label id="{4058088d-b0a6-4b25-91ed-de53affe74db}" enabled="1" method="Privileged" siteId="{19537222-55d7-4581-84fb-c2da6e835c7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Wave Bending Moment</vt:lpstr>
      <vt:lpstr>Wave Shear Force</vt:lpstr>
      <vt:lpstr>Longitudinal Shear</vt:lpstr>
      <vt:lpstr>GZ 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Timothy Lovett</cp:lastModifiedBy>
  <cp:revision>1</cp:revision>
  <dcterms:created xsi:type="dcterms:W3CDTF">2026-08-07T13:01:07Z</dcterms:created>
  <dcterms:modified xsi:type="dcterms:W3CDTF">2026-08-08T10:56:11Z</dcterms:modified>
  <dc:language>en-US</dc:language>
</cp:coreProperties>
</file>