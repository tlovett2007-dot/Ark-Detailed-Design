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Ark-Detailed-Design\hull-form\calcs\"/>
    </mc:Choice>
  </mc:AlternateContent>
  <xr:revisionPtr revIDLastSave="0" documentId="8_{DB3F5A2C-D653-4A61-8A4F-0ED9C2927D8F}" xr6:coauthVersionLast="47" xr6:coauthVersionMax="47" xr10:uidLastSave="{00000000-0000-0000-0000-000000000000}"/>
  <bookViews>
    <workbookView xWindow="3945" yWindow="495" windowWidth="21600" windowHeight="14715" tabRatio="500" activeTab="2" xr2:uid="{00000000-000D-0000-FFFF-FFFF00000000}"/>
  </bookViews>
  <sheets>
    <sheet name="Wave Bending Moment" sheetId="1" r:id="rId1"/>
    <sheet name="Wave Shear Force" sheetId="2" r:id="rId2"/>
    <sheet name="Longitudinal Shea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3" l="1"/>
  <c r="B17" i="3"/>
  <c r="B16" i="3"/>
  <c r="D13" i="2"/>
  <c r="D12" i="2"/>
  <c r="C12" i="2"/>
  <c r="B12" i="2"/>
  <c r="D11" i="2"/>
  <c r="C11" i="2"/>
  <c r="B11" i="2"/>
  <c r="D10" i="2"/>
  <c r="C10" i="2"/>
  <c r="B10" i="2"/>
  <c r="B18" i="1"/>
  <c r="B20" i="1" s="1"/>
  <c r="C13" i="1"/>
  <c r="C18" i="1" s="1"/>
  <c r="C20" i="1" s="1"/>
  <c r="B13" i="1"/>
  <c r="B13" i="2" s="1"/>
  <c r="B17" i="2" l="1"/>
  <c r="B19" i="2" s="1"/>
  <c r="B18" i="2"/>
  <c r="B17" i="1"/>
  <c r="B19" i="1" s="1"/>
  <c r="C17" i="1"/>
  <c r="C19" i="1" s="1"/>
  <c r="C13" i="2"/>
  <c r="C17" i="2" l="1"/>
  <c r="C19" i="2" s="1"/>
  <c r="C18" i="2"/>
  <c r="C20" i="2" s="1"/>
  <c r="B12" i="3"/>
  <c r="B20" i="2"/>
  <c r="C24" i="3" l="1"/>
  <c r="B24" i="3"/>
  <c r="C23" i="3"/>
  <c r="B23" i="3"/>
  <c r="C22" i="3"/>
  <c r="B22" i="3"/>
</calcChain>
</file>

<file path=xl/sharedStrings.xml><?xml version="1.0" encoding="utf-8"?>
<sst xmlns="http://schemas.openxmlformats.org/spreadsheetml/2006/main" count="103" uniqueCount="79">
  <si>
    <t>IACS UR S11 — Vertical Wave Bending Moment</t>
  </si>
  <si>
    <t>Noah's Ark vs Panamax Bulk Carrier</t>
  </si>
  <si>
    <t>Formula:  Mw = k · C · L² · B · (Cb + 0.7) × 10⁻³  [kN·m]</t>
  </si>
  <si>
    <t>k = 110 (hogging)  |  k = 190 (sagging)  |  C = wave coefficient = 10.75 − ((300−L)/100)^1.5  for 100 ≤ L ≤ 300m</t>
  </si>
  <si>
    <t>INPUTS</t>
  </si>
  <si>
    <t>Parameter</t>
  </si>
  <si>
    <t>Noah's Ark</t>
  </si>
  <si>
    <t>Panamax</t>
  </si>
  <si>
    <t>Notes</t>
  </si>
  <si>
    <t>Length L (m)</t>
  </si>
  <si>
    <t>Ark: 300 × 0.524m | Panamax: typical</t>
  </si>
  <si>
    <t>Beam B (m)</t>
  </si>
  <si>
    <t>Ark: 50 × 0.524m | Panamax: typical</t>
  </si>
  <si>
    <t>Block coefficient Cb</t>
  </si>
  <si>
    <t>Ark: CAD AR-003-20110418 | Panamax: typical</t>
  </si>
  <si>
    <t>Draft T (m)</t>
  </si>
  <si>
    <t>Ark: 15 cubits (Gen 7:20) | Panamax: typical</t>
  </si>
  <si>
    <t>Wave coefficient C</t>
  </si>
  <si>
    <t>IACS UR S11 — valid 100 ≤ L ≤ 300m</t>
  </si>
  <si>
    <t>RESULTS</t>
  </si>
  <si>
    <t>Mw Hogging (kN·m)</t>
  </si>
  <si>
    <t>k=110</t>
  </si>
  <si>
    <t>Mw Sagging (kN·m)</t>
  </si>
  <si>
    <t>k=190</t>
  </si>
  <si>
    <t>Mw Hogging (MN·m)</t>
  </si>
  <si>
    <t>Mw Sagging (MN·m)</t>
  </si>
  <si>
    <t>Source: IACS Unified Requirement S11 (Rev.7, 2022). Blue cells = inputs (edit freely).</t>
  </si>
  <si>
    <t>IACS UR S11 — Vertical Wave Shear Force</t>
  </si>
  <si>
    <t>Formula:  Vw = k · C · L · B · (Cb + 0.7) × 10⁻²  [kN]</t>
  </si>
  <si>
    <t>k = 30 (positive/hogging shear)  |  k = 37 (negative/sagging shear)  |  C = wave coefficient (same as WBM sheet)</t>
  </si>
  <si>
    <t>Maximum shear occurs at approx. quarter-length points — governs hull wall, bulkhead connections, and frame sizing at L/4.</t>
  </si>
  <si>
    <t>INPUTS (linked from Wave Bending Moment sheet)</t>
  </si>
  <si>
    <t>Vw Positive/Hogging (kN)</t>
  </si>
  <si>
    <t>k=30</t>
  </si>
  <si>
    <t>Vw Negative/Sagging (kN)</t>
  </si>
  <si>
    <t>k=37</t>
  </si>
  <si>
    <t>Vw Positive/Hogging (MN)</t>
  </si>
  <si>
    <t>Vw Negative/Sagging (MN)</t>
  </si>
  <si>
    <t>Source: IACS UR S11 (Rev.7, 2022). Green cells = linked from WBM sheet — edit inputs there.</t>
  </si>
  <si>
    <t>Longitudinal Shear Flow — Hull Box Section</t>
  </si>
  <si>
    <t>Noah's Ark — thin-walled box beam approximation</t>
  </si>
  <si>
    <t>Formula:  q = VQ/I  [kN/m]   where V = vertical shear, Q = first moment of area above shear plane, I = second moment of area</t>
  </si>
  <si>
    <t>Critical planes: (1) deck-to-side joint  (2) keel-to-side joint  (3) neutral axis (mid-height)</t>
  </si>
  <si>
    <t>INPUTS — Hull Cross Section</t>
  </si>
  <si>
    <t>Value</t>
  </si>
  <si>
    <t>Units</t>
  </si>
  <si>
    <t>Overall depth D (m)</t>
  </si>
  <si>
    <t>m</t>
  </si>
  <si>
    <t>30 cubits × 0.524m</t>
  </si>
  <si>
    <t>Overall beam B (m)</t>
  </si>
  <si>
    <t>50 cubits × 0.524m</t>
  </si>
  <si>
    <t>Wall thickness t (m)</t>
  </si>
  <si>
    <t>127mm plank + 812mm frame — all walls equal</t>
  </si>
  <si>
    <t>Shear force V (kN)</t>
  </si>
  <si>
    <t>kN</t>
  </si>
  <si>
    <t>Linked — sagging (governing) from shear sheet</t>
  </si>
  <si>
    <t>SECTION PROPERTIES</t>
  </si>
  <si>
    <t>Property</t>
  </si>
  <si>
    <t>Formula result</t>
  </si>
  <si>
    <t>Second moment of area I (m⁴)</t>
  </si>
  <si>
    <t>m⁴</t>
  </si>
  <si>
    <t>Outer box minus inner void</t>
  </si>
  <si>
    <t>Q at deck joint (m³)</t>
  </si>
  <si>
    <t>m³</t>
  </si>
  <si>
    <t>Top flange contribution only</t>
  </si>
  <si>
    <t>Q at neutral axis (m³)</t>
  </si>
  <si>
    <t>Top flange + half webs</t>
  </si>
  <si>
    <t>SHEAR FLOW RESULTS</t>
  </si>
  <si>
    <t>Location</t>
  </si>
  <si>
    <t>Shear flow q (kN/m)</t>
  </si>
  <si>
    <t>Stress τ (MPa)</t>
  </si>
  <si>
    <t>Deck-to-side joint</t>
  </si>
  <si>
    <t>q split between 2 joints; τ = q/(2t)</t>
  </si>
  <si>
    <t>Keel-to-side joint</t>
  </si>
  <si>
    <t>Same as deck by symmetry</t>
  </si>
  <si>
    <t>Neutral axis (max shear flow)</t>
  </si>
  <si>
    <t>Shared by 2 webs — divide by 2</t>
  </si>
  <si>
    <t>Timber shear capacity reference: parallel to grain 6–12 MPa | perpendicular (rolling) shear 1.5–3 MPa | old growth pine ~8 MPa parallel</t>
  </si>
  <si>
    <t>Source: IACS UR S11 (Rev.7, 2022). Blue = input, green = linked from Wave Shear Force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</si>
</sst>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1"/>
      <color rgb="FF008000"/>
      <name val="Arial"/>
      <charset val="1"/>
    </font>
    <font>
      <i/>
      <sz val="9"/>
      <color rgb="FF00800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0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0" borderId="0" xfId="0" applyFont="1"/>
    <xf numFmtId="2" fontId="6" fillId="0" borderId="0" xfId="0" applyNumberFormat="1" applyFont="1"/>
    <xf numFmtId="164" fontId="7" fillId="0" borderId="0" xfId="0" applyNumberFormat="1" applyFont="1"/>
    <xf numFmtId="3" fontId="5" fillId="0" borderId="0" xfId="0" applyNumberFormat="1" applyFont="1"/>
    <xf numFmtId="164" fontId="8" fillId="0" borderId="0" xfId="0" applyNumberFormat="1" applyFont="1"/>
    <xf numFmtId="0" fontId="9" fillId="0" borderId="0" xfId="0" applyFont="1"/>
    <xf numFmtId="164" fontId="6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workbookViewId="0">
      <selection activeCell="D28" sqref="D28"/>
    </sheetView>
  </sheetViews>
  <sheetFormatPr defaultColWidth="8.7109375" defaultRowHeight="15" x14ac:dyDescent="0.25"/>
  <cols>
    <col min="1" max="1" width="32" customWidth="1"/>
    <col min="2" max="2" width="18" customWidth="1"/>
    <col min="3" max="3" width="12" customWidth="1"/>
    <col min="4" max="4" width="32" customWidth="1"/>
  </cols>
  <sheetData>
    <row r="1" spans="1:4" ht="15.75" customHeight="1" x14ac:dyDescent="0.25">
      <c r="A1" s="6" t="s">
        <v>0</v>
      </c>
      <c r="B1" s="6"/>
      <c r="C1" s="6"/>
      <c r="D1" s="6"/>
    </row>
    <row r="2" spans="1:4" ht="15" customHeight="1" x14ac:dyDescent="0.25">
      <c r="A2" s="5" t="s">
        <v>1</v>
      </c>
      <c r="B2" s="5"/>
      <c r="C2" s="5"/>
      <c r="D2" s="5"/>
    </row>
    <row r="4" spans="1:4" ht="15" customHeight="1" x14ac:dyDescent="0.25">
      <c r="A4" s="4" t="s">
        <v>2</v>
      </c>
      <c r="B4" s="4"/>
      <c r="C4" s="4"/>
      <c r="D4" s="4"/>
    </row>
    <row r="5" spans="1:4" ht="15" customHeight="1" x14ac:dyDescent="0.25">
      <c r="A5" s="3" t="s">
        <v>3</v>
      </c>
      <c r="B5" s="3"/>
      <c r="C5" s="3"/>
      <c r="D5" s="3"/>
    </row>
    <row r="7" spans="1:4" ht="15" customHeight="1" x14ac:dyDescent="0.25">
      <c r="A7" s="8" t="s">
        <v>4</v>
      </c>
    </row>
    <row r="8" spans="1:4" ht="15" customHeight="1" x14ac:dyDescent="0.25">
      <c r="A8" s="9" t="s">
        <v>5</v>
      </c>
      <c r="B8" s="9" t="s">
        <v>6</v>
      </c>
      <c r="C8" s="9" t="s">
        <v>7</v>
      </c>
      <c r="D8" s="9" t="s">
        <v>8</v>
      </c>
    </row>
    <row r="9" spans="1:4" ht="15" customHeight="1" x14ac:dyDescent="0.25">
      <c r="A9" s="10" t="s">
        <v>9</v>
      </c>
      <c r="B9" s="11">
        <v>157.19999999999999</v>
      </c>
      <c r="C9" s="11">
        <v>225</v>
      </c>
      <c r="D9" s="7" t="s">
        <v>10</v>
      </c>
    </row>
    <row r="10" spans="1:4" ht="15" customHeight="1" x14ac:dyDescent="0.25">
      <c r="A10" s="10" t="s">
        <v>11</v>
      </c>
      <c r="B10" s="11">
        <v>26.2</v>
      </c>
      <c r="C10" s="11">
        <v>32.200000000000003</v>
      </c>
      <c r="D10" s="7" t="s">
        <v>12</v>
      </c>
    </row>
    <row r="11" spans="1:4" ht="15" customHeight="1" x14ac:dyDescent="0.25">
      <c r="A11" s="10" t="s">
        <v>13</v>
      </c>
      <c r="B11" s="11">
        <v>0.87</v>
      </c>
      <c r="C11" s="11">
        <v>0.83</v>
      </c>
      <c r="D11" s="7" t="s">
        <v>14</v>
      </c>
    </row>
    <row r="12" spans="1:4" ht="15" customHeight="1" x14ac:dyDescent="0.25">
      <c r="A12" s="10" t="s">
        <v>15</v>
      </c>
      <c r="B12" s="11">
        <v>7.86</v>
      </c>
      <c r="C12" s="11">
        <v>14</v>
      </c>
      <c r="D12" s="7" t="s">
        <v>16</v>
      </c>
    </row>
    <row r="13" spans="1:4" ht="15" customHeight="1" x14ac:dyDescent="0.25">
      <c r="A13" s="10" t="s">
        <v>17</v>
      </c>
      <c r="B13" s="12">
        <f>10.75-((300-B9)/100)^1.5</f>
        <v>9.0435549373038686</v>
      </c>
      <c r="C13" s="12">
        <f>10.75-((300-C9)/100)^1.5</f>
        <v>10.100480947161671</v>
      </c>
      <c r="D13" s="7" t="s">
        <v>18</v>
      </c>
    </row>
    <row r="15" spans="1:4" ht="15" customHeight="1" x14ac:dyDescent="0.25">
      <c r="A15" s="8" t="s">
        <v>19</v>
      </c>
    </row>
    <row r="16" spans="1:4" ht="15" customHeight="1" x14ac:dyDescent="0.25">
      <c r="A16" s="9"/>
      <c r="B16" s="9" t="s">
        <v>6</v>
      </c>
      <c r="C16" s="9" t="s">
        <v>7</v>
      </c>
      <c r="D16" s="9" t="s">
        <v>8</v>
      </c>
    </row>
    <row r="17" spans="1:4" ht="15" customHeight="1" x14ac:dyDescent="0.25">
      <c r="A17" s="10" t="s">
        <v>20</v>
      </c>
      <c r="B17" s="13">
        <f>110*B13*B9^2*B10*(B11+0.7)*0.001</f>
        <v>1011201.9384049438</v>
      </c>
      <c r="C17" s="13">
        <f>110*C13*C9^2*C10*(C11+0.7)*0.001</f>
        <v>2771067.3266218402</v>
      </c>
      <c r="D17" s="7" t="s">
        <v>21</v>
      </c>
    </row>
    <row r="18" spans="1:4" ht="15" customHeight="1" x14ac:dyDescent="0.25">
      <c r="A18" s="10" t="s">
        <v>22</v>
      </c>
      <c r="B18" s="13">
        <f>190*B13*B9^2*B10*(B11+0.7)*0.001</f>
        <v>1746621.5299721758</v>
      </c>
      <c r="C18" s="13">
        <f>190*C13*C9^2*C10*(C11+0.7)*0.001</f>
        <v>4786389.0187104503</v>
      </c>
      <c r="D18" s="7" t="s">
        <v>23</v>
      </c>
    </row>
    <row r="19" spans="1:4" ht="15" customHeight="1" x14ac:dyDescent="0.25">
      <c r="A19" s="10" t="s">
        <v>24</v>
      </c>
      <c r="B19" s="13">
        <f>B17/1000</f>
        <v>1011.2019384049438</v>
      </c>
      <c r="C19" s="13">
        <f>C17/1000</f>
        <v>2771.06732662184</v>
      </c>
      <c r="D19" s="7"/>
    </row>
    <row r="20" spans="1:4" ht="15" customHeight="1" x14ac:dyDescent="0.25">
      <c r="A20" s="10" t="s">
        <v>25</v>
      </c>
      <c r="B20" s="13">
        <f>B18/1000</f>
        <v>1746.6215299721757</v>
      </c>
      <c r="C20" s="13">
        <f>C18/1000</f>
        <v>4786.3890187104498</v>
      </c>
      <c r="D20" s="7"/>
    </row>
    <row r="22" spans="1:4" ht="15" customHeight="1" x14ac:dyDescent="0.25">
      <c r="A22" s="3" t="s">
        <v>26</v>
      </c>
      <c r="B22" s="3"/>
      <c r="C22" s="3"/>
      <c r="D22" s="3"/>
    </row>
  </sheetData>
  <mergeCells count="5">
    <mergeCell ref="A1:D1"/>
    <mergeCell ref="A2:D2"/>
    <mergeCell ref="A4:D4"/>
    <mergeCell ref="A5:D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18" customWidth="1"/>
    <col min="3" max="3" width="12" customWidth="1"/>
    <col min="4" max="4" width="38" customWidth="1"/>
  </cols>
  <sheetData>
    <row r="1" spans="1:4" ht="15.75" customHeight="1" x14ac:dyDescent="0.25">
      <c r="A1" s="6" t="s">
        <v>27</v>
      </c>
      <c r="B1" s="6"/>
      <c r="C1" s="6"/>
      <c r="D1" s="6"/>
    </row>
    <row r="2" spans="1:4" ht="15" customHeight="1" x14ac:dyDescent="0.25">
      <c r="A2" s="5" t="s">
        <v>1</v>
      </c>
      <c r="B2" s="5"/>
      <c r="C2" s="5"/>
      <c r="D2" s="5"/>
    </row>
    <row r="4" spans="1:4" ht="15" customHeight="1" x14ac:dyDescent="0.25">
      <c r="A4" s="4" t="s">
        <v>28</v>
      </c>
      <c r="B4" s="4"/>
      <c r="C4" s="4"/>
      <c r="D4" s="4"/>
    </row>
    <row r="5" spans="1:4" ht="15" customHeight="1" x14ac:dyDescent="0.25">
      <c r="A5" s="3" t="s">
        <v>29</v>
      </c>
      <c r="B5" s="3"/>
      <c r="C5" s="3"/>
      <c r="D5" s="3"/>
    </row>
    <row r="6" spans="1:4" ht="15" customHeight="1" x14ac:dyDescent="0.25">
      <c r="A6" s="3" t="s">
        <v>30</v>
      </c>
      <c r="B6" s="3"/>
      <c r="C6" s="3"/>
      <c r="D6" s="3"/>
    </row>
    <row r="8" spans="1:4" ht="15" customHeight="1" x14ac:dyDescent="0.25">
      <c r="A8" s="8" t="s">
        <v>31</v>
      </c>
    </row>
    <row r="9" spans="1:4" ht="15" customHeight="1" x14ac:dyDescent="0.25">
      <c r="A9" s="9" t="s">
        <v>5</v>
      </c>
      <c r="B9" s="9" t="s">
        <v>6</v>
      </c>
      <c r="C9" s="9" t="s">
        <v>7</v>
      </c>
      <c r="D9" s="9" t="s">
        <v>8</v>
      </c>
    </row>
    <row r="10" spans="1:4" ht="15" customHeight="1" x14ac:dyDescent="0.25">
      <c r="A10" s="10" t="s">
        <v>9</v>
      </c>
      <c r="B10" s="14">
        <f>'Wave Bending Moment'!B9</f>
        <v>157.19999999999999</v>
      </c>
      <c r="C10" s="14">
        <f>'Wave Bending Moment'!C9</f>
        <v>225</v>
      </c>
      <c r="D10" s="15" t="str">
        <f>'Wave Bending Moment'!D9</f>
        <v>Ark: 300 × 0.524m | Panamax: typical</v>
      </c>
    </row>
    <row r="11" spans="1:4" ht="15" customHeight="1" x14ac:dyDescent="0.25">
      <c r="A11" s="10" t="s">
        <v>11</v>
      </c>
      <c r="B11" s="14">
        <f>'Wave Bending Moment'!B10</f>
        <v>26.2</v>
      </c>
      <c r="C11" s="14">
        <f>'Wave Bending Moment'!C10</f>
        <v>32.200000000000003</v>
      </c>
      <c r="D11" s="15" t="str">
        <f>'Wave Bending Moment'!D10</f>
        <v>Ark: 50 × 0.524m | Panamax: typical</v>
      </c>
    </row>
    <row r="12" spans="1:4" ht="15" customHeight="1" x14ac:dyDescent="0.25">
      <c r="A12" s="10" t="s">
        <v>13</v>
      </c>
      <c r="B12" s="14">
        <f>'Wave Bending Moment'!B11</f>
        <v>0.87</v>
      </c>
      <c r="C12" s="14">
        <f>'Wave Bending Moment'!C11</f>
        <v>0.83</v>
      </c>
      <c r="D12" s="15" t="str">
        <f>'Wave Bending Moment'!D11</f>
        <v>Ark: CAD AR-003-20110418 | Panamax: typical</v>
      </c>
    </row>
    <row r="13" spans="1:4" ht="15" customHeight="1" x14ac:dyDescent="0.25">
      <c r="A13" s="10" t="s">
        <v>17</v>
      </c>
      <c r="B13" s="14">
        <f>'Wave Bending Moment'!B13</f>
        <v>9.0435549373038686</v>
      </c>
      <c r="C13" s="14">
        <f>'Wave Bending Moment'!C13</f>
        <v>10.100480947161671</v>
      </c>
      <c r="D13" s="15" t="str">
        <f>'Wave Bending Moment'!D13</f>
        <v>IACS UR S11 — valid 100 ≤ L ≤ 300m</v>
      </c>
    </row>
    <row r="15" spans="1:4" ht="15" customHeight="1" x14ac:dyDescent="0.25">
      <c r="A15" s="8" t="s">
        <v>19</v>
      </c>
    </row>
    <row r="16" spans="1:4" ht="15" customHeight="1" x14ac:dyDescent="0.25">
      <c r="A16" s="9"/>
      <c r="B16" s="9" t="s">
        <v>6</v>
      </c>
      <c r="C16" s="9" t="s">
        <v>7</v>
      </c>
      <c r="D16" s="9" t="s">
        <v>8</v>
      </c>
    </row>
    <row r="17" spans="1:4" ht="15" customHeight="1" x14ac:dyDescent="0.25">
      <c r="A17" s="10" t="s">
        <v>32</v>
      </c>
      <c r="B17" s="13">
        <f>30*B13*B10*B11*(B12+0.7)*0.01</f>
        <v>17543.40628738626</v>
      </c>
      <c r="C17" s="13">
        <f>30*C13*C10*C11*(C12+0.7)*0.01</f>
        <v>33588.69486814351</v>
      </c>
      <c r="D17" s="7" t="s">
        <v>33</v>
      </c>
    </row>
    <row r="18" spans="1:4" ht="15" customHeight="1" x14ac:dyDescent="0.25">
      <c r="A18" s="10" t="s">
        <v>34</v>
      </c>
      <c r="B18" s="13">
        <f>37*B13*B10*B11*(B12+0.7)*0.01</f>
        <v>21636.867754443054</v>
      </c>
      <c r="C18" s="13">
        <f>37*C13*C10*C11*(C12+0.7)*0.01</f>
        <v>41426.057004043672</v>
      </c>
      <c r="D18" s="7" t="s">
        <v>35</v>
      </c>
    </row>
    <row r="19" spans="1:4" ht="15" customHeight="1" x14ac:dyDescent="0.25">
      <c r="A19" s="10" t="s">
        <v>36</v>
      </c>
      <c r="B19" s="13">
        <f>B17/1000</f>
        <v>17.543406287386262</v>
      </c>
      <c r="C19" s="13">
        <f>C17/1000</f>
        <v>33.588694868143513</v>
      </c>
      <c r="D19" s="7"/>
    </row>
    <row r="20" spans="1:4" ht="15" customHeight="1" x14ac:dyDescent="0.25">
      <c r="A20" s="10" t="s">
        <v>37</v>
      </c>
      <c r="B20" s="13">
        <f>B18/1000</f>
        <v>21.636867754443053</v>
      </c>
      <c r="C20" s="13">
        <f>C18/1000</f>
        <v>41.42605700404367</v>
      </c>
      <c r="D20" s="7"/>
    </row>
    <row r="22" spans="1:4" ht="15" customHeight="1" x14ac:dyDescent="0.25">
      <c r="A22" s="3" t="s">
        <v>38</v>
      </c>
      <c r="B22" s="3"/>
      <c r="C22" s="3"/>
      <c r="D22" s="3"/>
    </row>
  </sheetData>
  <mergeCells count="6">
    <mergeCell ref="A22:D22"/>
    <mergeCell ref="A1:D1"/>
    <mergeCell ref="A2:D2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zoomScaleNormal="100" workbookViewId="0">
      <selection sqref="A1:D1"/>
    </sheetView>
  </sheetViews>
  <sheetFormatPr defaultColWidth="8.7109375" defaultRowHeight="15" x14ac:dyDescent="0.25"/>
  <cols>
    <col min="1" max="1" width="36" customWidth="1"/>
    <col min="2" max="3" width="16" customWidth="1"/>
    <col min="4" max="4" width="36" customWidth="1"/>
  </cols>
  <sheetData>
    <row r="1" spans="1:4" ht="15.75" customHeight="1" x14ac:dyDescent="0.25">
      <c r="A1" s="6" t="s">
        <v>39</v>
      </c>
      <c r="B1" s="6"/>
      <c r="C1" s="6"/>
      <c r="D1" s="6"/>
    </row>
    <row r="2" spans="1:4" ht="15" customHeight="1" x14ac:dyDescent="0.25">
      <c r="A2" s="5" t="s">
        <v>40</v>
      </c>
      <c r="B2" s="5"/>
      <c r="C2" s="5"/>
      <c r="D2" s="5"/>
    </row>
    <row r="4" spans="1:4" ht="15" customHeight="1" x14ac:dyDescent="0.25">
      <c r="A4" s="2" t="s">
        <v>41</v>
      </c>
      <c r="B4" s="2"/>
      <c r="C4" s="2"/>
      <c r="D4" s="2"/>
    </row>
    <row r="5" spans="1:4" ht="15" customHeight="1" x14ac:dyDescent="0.25">
      <c r="A5" s="3" t="s">
        <v>42</v>
      </c>
      <c r="B5" s="3"/>
      <c r="C5" s="3"/>
      <c r="D5" s="3"/>
    </row>
    <row r="7" spans="1:4" ht="15.75" customHeight="1" x14ac:dyDescent="0.25">
      <c r="A7" s="1" t="s">
        <v>43</v>
      </c>
      <c r="B7" s="1"/>
      <c r="C7" s="1"/>
      <c r="D7" s="1"/>
    </row>
    <row r="8" spans="1:4" ht="15" customHeight="1" x14ac:dyDescent="0.25">
      <c r="A8" s="9" t="s">
        <v>5</v>
      </c>
      <c r="B8" s="9" t="s">
        <v>44</v>
      </c>
      <c r="C8" s="9" t="s">
        <v>45</v>
      </c>
      <c r="D8" s="9" t="s">
        <v>8</v>
      </c>
    </row>
    <row r="9" spans="1:4" ht="15" customHeight="1" x14ac:dyDescent="0.25">
      <c r="A9" s="10" t="s">
        <v>46</v>
      </c>
      <c r="B9" s="16">
        <v>15.72</v>
      </c>
      <c r="C9" s="10" t="s">
        <v>47</v>
      </c>
      <c r="D9" s="7" t="s">
        <v>48</v>
      </c>
    </row>
    <row r="10" spans="1:4" ht="15" customHeight="1" x14ac:dyDescent="0.25">
      <c r="A10" s="10" t="s">
        <v>49</v>
      </c>
      <c r="B10" s="16">
        <v>26.2</v>
      </c>
      <c r="C10" s="10" t="s">
        <v>47</v>
      </c>
      <c r="D10" s="7" t="s">
        <v>50</v>
      </c>
    </row>
    <row r="11" spans="1:4" ht="15" customHeight="1" x14ac:dyDescent="0.25">
      <c r="A11" s="10" t="s">
        <v>51</v>
      </c>
      <c r="B11" s="16">
        <v>0.93899999999999995</v>
      </c>
      <c r="C11" s="10" t="s">
        <v>47</v>
      </c>
      <c r="D11" s="7" t="s">
        <v>52</v>
      </c>
    </row>
    <row r="12" spans="1:4" ht="15" customHeight="1" x14ac:dyDescent="0.25">
      <c r="A12" s="10" t="s">
        <v>53</v>
      </c>
      <c r="B12" s="14">
        <f>'Wave Shear Force'!B18</f>
        <v>21636.867754443054</v>
      </c>
      <c r="C12" s="10" t="s">
        <v>54</v>
      </c>
      <c r="D12" s="7" t="s">
        <v>55</v>
      </c>
    </row>
    <row r="14" spans="1:4" ht="15.75" customHeight="1" x14ac:dyDescent="0.25">
      <c r="A14" s="1" t="s">
        <v>56</v>
      </c>
      <c r="B14" s="1"/>
      <c r="C14" s="1"/>
      <c r="D14" s="1"/>
    </row>
    <row r="15" spans="1:4" ht="15" customHeight="1" x14ac:dyDescent="0.25">
      <c r="A15" s="9" t="s">
        <v>57</v>
      </c>
      <c r="B15" s="9" t="s">
        <v>58</v>
      </c>
      <c r="C15" s="9" t="s">
        <v>45</v>
      </c>
      <c r="D15" s="9" t="s">
        <v>8</v>
      </c>
    </row>
    <row r="16" spans="1:4" ht="15" customHeight="1" x14ac:dyDescent="0.25">
      <c r="A16" s="10" t="s">
        <v>59</v>
      </c>
      <c r="B16" s="17">
        <f>(1/12)*B10*B9^3-(1/12)*(B10-2*B11)*(B9-2*B11)^3</f>
        <v>3106.150866168372</v>
      </c>
      <c r="C16" s="10" t="s">
        <v>60</v>
      </c>
      <c r="D16" s="7" t="s">
        <v>61</v>
      </c>
    </row>
    <row r="17" spans="1:4" ht="15" customHeight="1" x14ac:dyDescent="0.25">
      <c r="A17" s="10" t="s">
        <v>62</v>
      </c>
      <c r="B17" s="17">
        <f>B10*B11*(B9/2-B11/2)</f>
        <v>181.81960289999998</v>
      </c>
      <c r="C17" s="10" t="s">
        <v>63</v>
      </c>
      <c r="D17" s="7" t="s">
        <v>64</v>
      </c>
    </row>
    <row r="18" spans="1:4" ht="15" customHeight="1" x14ac:dyDescent="0.25">
      <c r="A18" s="10" t="s">
        <v>65</v>
      </c>
      <c r="B18" s="17">
        <f>B10*B11*(B9/2-B11/2)+2*B11*(B9/2-B11)*(B9/4-B11/2)</f>
        <v>226.79792919899998</v>
      </c>
      <c r="C18" s="10" t="s">
        <v>63</v>
      </c>
      <c r="D18" s="7" t="s">
        <v>66</v>
      </c>
    </row>
    <row r="20" spans="1:4" ht="15.75" customHeight="1" x14ac:dyDescent="0.25">
      <c r="A20" s="1" t="s">
        <v>67</v>
      </c>
      <c r="B20" s="1"/>
      <c r="C20" s="1"/>
      <c r="D20" s="1"/>
    </row>
    <row r="21" spans="1:4" ht="15" customHeight="1" x14ac:dyDescent="0.25">
      <c r="A21" s="9" t="s">
        <v>68</v>
      </c>
      <c r="B21" s="9" t="s">
        <v>69</v>
      </c>
      <c r="C21" s="9" t="s">
        <v>70</v>
      </c>
      <c r="D21" s="9" t="s">
        <v>8</v>
      </c>
    </row>
    <row r="22" spans="1:4" ht="15" customHeight="1" x14ac:dyDescent="0.25">
      <c r="A22" s="10" t="s">
        <v>71</v>
      </c>
      <c r="B22" s="18">
        <f>B12*B17/B16</f>
        <v>1266.5214513438909</v>
      </c>
      <c r="C22" s="19">
        <f>B12*B17/B16/(2*B11)/1000</f>
        <v>0.67439906887321133</v>
      </c>
      <c r="D22" s="7" t="s">
        <v>72</v>
      </c>
    </row>
    <row r="23" spans="1:4" ht="15" customHeight="1" x14ac:dyDescent="0.25">
      <c r="A23" s="10" t="s">
        <v>73</v>
      </c>
      <c r="B23" s="18">
        <f>B12*B17/B16</f>
        <v>1266.5214513438909</v>
      </c>
      <c r="C23" s="19">
        <f>B12*B17/B16/(2*B11)/1000</f>
        <v>0.67439906887321133</v>
      </c>
      <c r="D23" s="7" t="s">
        <v>74</v>
      </c>
    </row>
    <row r="24" spans="1:4" ht="15" customHeight="1" x14ac:dyDescent="0.25">
      <c r="A24" s="10" t="s">
        <v>75</v>
      </c>
      <c r="B24" s="18">
        <f>B12*B18/B16</f>
        <v>1579.8320855913962</v>
      </c>
      <c r="C24" s="19">
        <f>B12*B18/B16/(2*B11)/1000</f>
        <v>0.84123114248743147</v>
      </c>
      <c r="D24" s="7" t="s">
        <v>76</v>
      </c>
    </row>
    <row r="26" spans="1:4" ht="15" customHeight="1" x14ac:dyDescent="0.25">
      <c r="A26" s="3" t="s">
        <v>77</v>
      </c>
      <c r="B26" s="3"/>
      <c r="C26" s="3"/>
      <c r="D26" s="3"/>
    </row>
    <row r="27" spans="1:4" ht="15" customHeight="1" x14ac:dyDescent="0.25">
      <c r="A27" s="3" t="s">
        <v>78</v>
      </c>
      <c r="B27" s="3"/>
      <c r="C27" s="3"/>
      <c r="D27" s="3"/>
    </row>
  </sheetData>
  <mergeCells count="9">
    <mergeCell ref="A14:D14"/>
    <mergeCell ref="A20:D20"/>
    <mergeCell ref="A26:D26"/>
    <mergeCell ref="A27:D27"/>
    <mergeCell ref="A1:D1"/>
    <mergeCell ref="A2:D2"/>
    <mergeCell ref="A4:D4"/>
    <mergeCell ref="A5:D5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Wave Bending Moment</vt:lpstr>
      <vt:lpstr>Wave Shear Force</vt:lpstr>
      <vt:lpstr>Longitudinal Shear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Timothy Lovett</cp:lastModifiedBy>
  <cp:revision>0</cp:revision>
  <dcterms:created xsi:type="dcterms:W3CDTF">2026-08-07T13:01:07Z</dcterms:created>
  <dcterms:modified xsi:type="dcterms:W3CDTF">2026-08-07T13:48:30Z</dcterms:modified>
  <dc:language>en-US</dc:language>
</cp:coreProperties>
</file>