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Ark-Detailed-Design\hull-form\calcs\"/>
    </mc:Choice>
  </mc:AlternateContent>
  <xr:revisionPtr revIDLastSave="0" documentId="13_ncr:1_{538AB626-6793-46BA-961C-12431CDF6212}" xr6:coauthVersionLast="47" xr6:coauthVersionMax="47" xr10:uidLastSave="{00000000-0000-0000-0000-000000000000}"/>
  <bookViews>
    <workbookView xWindow="2325" yWindow="810" windowWidth="21600" windowHeight="13320" activeTab="4" xr2:uid="{00000000-000D-0000-FFFF-FFFF00000000}"/>
  </bookViews>
  <sheets>
    <sheet name="Sheet1" sheetId="1" r:id="rId1"/>
    <sheet name="April 2011" sheetId="4" r:id="rId2"/>
    <sheet name="block coeff" sheetId="2" r:id="rId3"/>
    <sheet name="Wave BM" sheetId="3" r:id="rId4"/>
    <sheet name="Shear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5" l="1"/>
  <c r="C19" i="5" s="1"/>
  <c r="C18" i="5"/>
  <c r="C20" i="5"/>
  <c r="D13" i="5"/>
  <c r="D18" i="5" s="1"/>
  <c r="D20" i="5" s="1"/>
  <c r="C13" i="5"/>
  <c r="E13" i="5"/>
  <c r="E12" i="5"/>
  <c r="E11" i="5"/>
  <c r="E10" i="5"/>
  <c r="D18" i="3"/>
  <c r="D20" i="3" s="1"/>
  <c r="C18" i="3"/>
  <c r="C20" i="3" s="1"/>
  <c r="C17" i="3"/>
  <c r="C19" i="3" s="1"/>
  <c r="D13" i="3"/>
  <c r="D17" i="3" s="1"/>
  <c r="D19" i="3" s="1"/>
  <c r="C13" i="3"/>
  <c r="P18" i="2"/>
  <c r="P19" i="2" s="1"/>
  <c r="O19" i="2"/>
  <c r="O18" i="2"/>
  <c r="N18" i="2"/>
  <c r="N19" i="2" s="1"/>
  <c r="M18" i="2"/>
  <c r="M19" i="2"/>
  <c r="M11" i="2"/>
  <c r="B28" i="2"/>
  <c r="B26" i="2"/>
  <c r="B25" i="2"/>
  <c r="B23" i="2"/>
  <c r="F20" i="2"/>
  <c r="E20" i="2"/>
  <c r="F19" i="2"/>
  <c r="F18" i="2"/>
  <c r="F14" i="2"/>
  <c r="I17" i="2"/>
  <c r="I18" i="2" s="1"/>
  <c r="J17" i="2"/>
  <c r="J18" i="2" s="1"/>
  <c r="H17" i="2"/>
  <c r="H18" i="2" s="1"/>
  <c r="D16" i="2"/>
  <c r="E16" i="2" s="1"/>
  <c r="E15" i="2"/>
  <c r="B27" i="2" s="1"/>
  <c r="E14" i="2"/>
  <c r="C16" i="2"/>
  <c r="D9" i="2"/>
  <c r="B7" i="2"/>
  <c r="B6" i="2"/>
  <c r="D2" i="2"/>
  <c r="B3" i="2"/>
  <c r="D3" i="2" s="1"/>
  <c r="B17" i="2" s="1"/>
  <c r="G50" i="4"/>
  <c r="E50" i="4"/>
  <c r="D50" i="4" s="1"/>
  <c r="C50" i="4" s="1"/>
  <c r="I60" i="4"/>
  <c r="D60" i="4"/>
  <c r="E60" i="4" s="1"/>
  <c r="F60" i="4" s="1"/>
  <c r="G60" i="4" s="1"/>
  <c r="E28" i="4"/>
  <c r="G1" i="4"/>
  <c r="E66" i="4"/>
  <c r="D66" i="4" s="1"/>
  <c r="F67" i="4"/>
  <c r="F68" i="4" s="1"/>
  <c r="G68" i="4" s="1"/>
  <c r="G66" i="4"/>
  <c r="E65" i="4"/>
  <c r="D65" i="4" s="1"/>
  <c r="G65" i="4"/>
  <c r="D17" i="5" l="1"/>
  <c r="D19" i="5" s="1"/>
  <c r="B18" i="2"/>
  <c r="B19" i="2" s="1"/>
  <c r="D17" i="2"/>
  <c r="E17" i="2" s="1"/>
  <c r="C17" i="2"/>
  <c r="B4" i="2"/>
  <c r="D4" i="2" s="1"/>
  <c r="C18" i="2"/>
  <c r="C19" i="2" s="1"/>
  <c r="D18" i="2"/>
  <c r="E18" i="2" s="1"/>
  <c r="E19" i="2" s="1"/>
  <c r="E67" i="4"/>
  <c r="D67" i="4" s="1"/>
  <c r="E68" i="4"/>
  <c r="D68" i="4" s="1"/>
  <c r="G67" i="4"/>
  <c r="I58" i="4"/>
  <c r="D58" i="4"/>
  <c r="E58" i="4" s="1"/>
  <c r="F58" i="4" s="1"/>
  <c r="G58" i="4" s="1"/>
  <c r="I61" i="4"/>
  <c r="D61" i="4"/>
  <c r="E61" i="4" s="1"/>
  <c r="F61" i="4" s="1"/>
  <c r="G61" i="4" s="1"/>
  <c r="I59" i="4"/>
  <c r="D59" i="4"/>
  <c r="E59" i="4" s="1"/>
  <c r="F59" i="4" s="1"/>
  <c r="G59" i="4" s="1"/>
  <c r="I57" i="4"/>
  <c r="I56" i="4"/>
  <c r="D57" i="4"/>
  <c r="E57" i="4" s="1"/>
  <c r="F57" i="4" s="1"/>
  <c r="G57" i="4" s="1"/>
  <c r="D56" i="4"/>
  <c r="E56" i="4" s="1"/>
  <c r="F56" i="4" s="1"/>
  <c r="G56" i="4" s="1"/>
  <c r="I46" i="4"/>
  <c r="I47" i="4"/>
  <c r="I45" i="4"/>
  <c r="D45" i="4"/>
  <c r="E45" i="4" s="1"/>
  <c r="F45" i="4" s="1"/>
  <c r="G45" i="4" s="1"/>
  <c r="I25" i="4"/>
  <c r="I26" i="4"/>
  <c r="I31" i="4"/>
  <c r="C49" i="4"/>
  <c r="D49" i="4" s="1"/>
  <c r="E49" i="4" s="1"/>
  <c r="F49" i="4" s="1"/>
  <c r="G49" i="4" s="1"/>
  <c r="H12" i="4"/>
  <c r="K12" i="4" s="1"/>
  <c r="K19" i="4" s="1"/>
  <c r="B20" i="4"/>
  <c r="C48" i="4"/>
  <c r="D48" i="4" s="1"/>
  <c r="E48" i="4" s="1"/>
  <c r="F48" i="4" s="1"/>
  <c r="G48" i="4" s="1"/>
  <c r="D47" i="4"/>
  <c r="E47" i="4" s="1"/>
  <c r="F47" i="4" s="1"/>
  <c r="G47" i="4" s="1"/>
  <c r="D46" i="4"/>
  <c r="E46" i="4" s="1"/>
  <c r="F46" i="4" s="1"/>
  <c r="G46" i="4" s="1"/>
  <c r="I33" i="4"/>
  <c r="I37" i="4"/>
  <c r="D37" i="4"/>
  <c r="E37" i="4" s="1"/>
  <c r="F37" i="4" s="1"/>
  <c r="G37" i="4" s="1"/>
  <c r="D33" i="4"/>
  <c r="E33" i="4" s="1"/>
  <c r="F33" i="4" s="1"/>
  <c r="G33" i="4" s="1"/>
  <c r="D25" i="4"/>
  <c r="E25" i="4" s="1"/>
  <c r="F25" i="4" s="1"/>
  <c r="G25" i="4" s="1"/>
  <c r="B21" i="4"/>
  <c r="B19" i="4"/>
  <c r="E19" i="4"/>
  <c r="D19" i="4"/>
  <c r="N7" i="4"/>
  <c r="N8" i="4"/>
  <c r="N9" i="4"/>
  <c r="N6" i="4"/>
  <c r="O5" i="4"/>
  <c r="O7" i="4" s="1"/>
  <c r="H14" i="4"/>
  <c r="H21" i="4" s="1"/>
  <c r="G13" i="4"/>
  <c r="G20" i="4" s="1"/>
  <c r="F13" i="4"/>
  <c r="F20" i="4" s="1"/>
  <c r="G12" i="4"/>
  <c r="J12" i="4" s="1"/>
  <c r="J19" i="4" s="1"/>
  <c r="E12" i="4"/>
  <c r="D12" i="4"/>
  <c r="G5" i="4"/>
  <c r="J5" i="4" s="1"/>
  <c r="H5" i="4"/>
  <c r="K5" i="4" s="1"/>
  <c r="G6" i="4"/>
  <c r="H6" i="4"/>
  <c r="F5" i="4"/>
  <c r="I5" i="4" s="1"/>
  <c r="F6" i="4"/>
  <c r="D28" i="4"/>
  <c r="C28" i="4" s="1"/>
  <c r="H33" i="4" s="1"/>
  <c r="D26" i="4"/>
  <c r="E26" i="4" s="1"/>
  <c r="F26" i="4" s="1"/>
  <c r="G26" i="4" s="1"/>
  <c r="B7" i="4"/>
  <c r="H7" i="4" s="1"/>
  <c r="C6" i="4"/>
  <c r="D6" i="4" s="1"/>
  <c r="E5" i="4"/>
  <c r="D5" i="4"/>
  <c r="B4" i="4"/>
  <c r="B11" i="4" s="1"/>
  <c r="H34" i="1"/>
  <c r="I34" i="1" s="1"/>
  <c r="G31" i="1"/>
  <c r="I31" i="1"/>
  <c r="I32" i="1" s="1"/>
  <c r="D20" i="1"/>
  <c r="E20" i="1"/>
  <c r="G20" i="1"/>
  <c r="C20" i="1"/>
  <c r="D19" i="1"/>
  <c r="D26" i="1"/>
  <c r="E26" i="1" s="1"/>
  <c r="F26" i="1" s="1"/>
  <c r="G26" i="1" s="1"/>
  <c r="D25" i="1"/>
  <c r="E25" i="1" s="1"/>
  <c r="F25" i="1" s="1"/>
  <c r="G25" i="1" s="1"/>
  <c r="D22" i="1"/>
  <c r="D23" i="1" s="1"/>
  <c r="C21" i="1"/>
  <c r="C22" i="1" s="1"/>
  <c r="C23" i="1" s="1"/>
  <c r="E21" i="1"/>
  <c r="F21" i="1" s="1"/>
  <c r="G21" i="1" s="1"/>
  <c r="G22" i="1" s="1"/>
  <c r="G23" i="1" s="1"/>
  <c r="D18" i="1"/>
  <c r="E18" i="1" s="1"/>
  <c r="F18" i="1" s="1"/>
  <c r="G18" i="1" s="1"/>
  <c r="C4" i="1"/>
  <c r="D4" i="1" s="1"/>
  <c r="D5" i="1"/>
  <c r="D6" i="1"/>
  <c r="G5" i="1"/>
  <c r="F5" i="1"/>
  <c r="C7" i="1"/>
  <c r="D7" i="1" s="1"/>
  <c r="E6" i="1"/>
  <c r="G6" i="1" s="1"/>
  <c r="E15" i="1"/>
  <c r="C15" i="1" s="1"/>
  <c r="G15" i="1" s="1"/>
  <c r="C14" i="1"/>
  <c r="E14" i="1" s="1"/>
  <c r="C10" i="1"/>
  <c r="E10" i="1" s="1"/>
  <c r="D19" i="2" l="1"/>
  <c r="F20" i="1"/>
  <c r="D62" i="4"/>
  <c r="I28" i="4"/>
  <c r="H26" i="4"/>
  <c r="H25" i="4"/>
  <c r="I48" i="4"/>
  <c r="I49" i="4"/>
  <c r="B18" i="4"/>
  <c r="C18" i="4" s="1"/>
  <c r="F11" i="4"/>
  <c r="G11" i="4"/>
  <c r="J11" i="4" s="1"/>
  <c r="J18" i="4" s="1"/>
  <c r="H31" i="4"/>
  <c r="H36" i="4"/>
  <c r="H28" i="4"/>
  <c r="H37" i="4"/>
  <c r="C11" i="4"/>
  <c r="D11" i="4" s="1"/>
  <c r="F12" i="4"/>
  <c r="I13" i="4" s="1"/>
  <c r="I20" i="4" s="1"/>
  <c r="G19" i="4"/>
  <c r="C13" i="4"/>
  <c r="E13" i="4" s="1"/>
  <c r="H13" i="4"/>
  <c r="H20" i="4" s="1"/>
  <c r="K7" i="4"/>
  <c r="H19" i="4"/>
  <c r="F18" i="4"/>
  <c r="C20" i="4"/>
  <c r="E20" i="4" s="1"/>
  <c r="C21" i="4"/>
  <c r="D21" i="4" s="1"/>
  <c r="I6" i="4"/>
  <c r="J13" i="4"/>
  <c r="J20" i="4" s="1"/>
  <c r="O8" i="4"/>
  <c r="O9" i="4"/>
  <c r="J6" i="4"/>
  <c r="K6" i="4"/>
  <c r="O6" i="4"/>
  <c r="K14" i="4"/>
  <c r="K21" i="4" s="1"/>
  <c r="C14" i="4"/>
  <c r="G14" i="4"/>
  <c r="H11" i="4"/>
  <c r="F14" i="4"/>
  <c r="G4" i="4"/>
  <c r="J4" i="4" s="1"/>
  <c r="E6" i="4"/>
  <c r="H4" i="4"/>
  <c r="K4" i="4" s="1"/>
  <c r="F7" i="4"/>
  <c r="I7" i="4" s="1"/>
  <c r="G7" i="4"/>
  <c r="J7" i="4" s="1"/>
  <c r="F4" i="4"/>
  <c r="I4" i="4" s="1"/>
  <c r="C7" i="4"/>
  <c r="C4" i="4"/>
  <c r="E22" i="1"/>
  <c r="E23" i="1" s="1"/>
  <c r="F22" i="1"/>
  <c r="F23" i="1" s="1"/>
  <c r="E7" i="1"/>
  <c r="F7" i="1" s="1"/>
  <c r="E4" i="1"/>
  <c r="F4" i="1" s="1"/>
  <c r="C11" i="1"/>
  <c r="C12" i="1" s="1"/>
  <c r="E12" i="1" s="1"/>
  <c r="F6" i="1"/>
  <c r="G7" i="1" l="1"/>
  <c r="E62" i="4"/>
  <c r="F62" i="4" s="1"/>
  <c r="G62" i="4" s="1"/>
  <c r="C62" i="4"/>
  <c r="I62" i="4" s="1"/>
  <c r="D13" i="4"/>
  <c r="G18" i="4"/>
  <c r="E11" i="4"/>
  <c r="I12" i="4"/>
  <c r="I19" i="4" s="1"/>
  <c r="I11" i="4"/>
  <c r="I18" i="4" s="1"/>
  <c r="F19" i="4"/>
  <c r="K13" i="4"/>
  <c r="K20" i="4" s="1"/>
  <c r="J14" i="4"/>
  <c r="J21" i="4" s="1"/>
  <c r="G21" i="4"/>
  <c r="I14" i="4"/>
  <c r="I21" i="4" s="1"/>
  <c r="F21" i="4"/>
  <c r="E21" i="4"/>
  <c r="K11" i="4"/>
  <c r="K18" i="4" s="1"/>
  <c r="H18" i="4"/>
  <c r="D20" i="4"/>
  <c r="D18" i="4"/>
  <c r="E18" i="4"/>
  <c r="D14" i="4"/>
  <c r="E14" i="4"/>
  <c r="E7" i="4"/>
  <c r="D7" i="4"/>
  <c r="F29" i="4"/>
  <c r="E29" i="4" s="1"/>
  <c r="D29" i="4" s="1"/>
  <c r="C29" i="4" s="1"/>
  <c r="G28" i="4"/>
  <c r="F27" i="4"/>
  <c r="E4" i="4"/>
  <c r="D4" i="4"/>
  <c r="G4" i="1"/>
  <c r="E19" i="1"/>
  <c r="F19" i="1" s="1"/>
  <c r="G19" i="1" s="1"/>
  <c r="E27" i="4" l="1"/>
  <c r="D27" i="4" s="1"/>
  <c r="C27" i="4" s="1"/>
  <c r="I27" i="4" s="1"/>
  <c r="F30" i="4"/>
  <c r="E30" i="4" s="1"/>
  <c r="D30" i="4" s="1"/>
  <c r="C30" i="4" s="1"/>
  <c r="G29" i="4"/>
  <c r="G30" i="4" s="1"/>
  <c r="G32" i="4" s="1"/>
  <c r="G27" i="4"/>
  <c r="H27" i="4" l="1"/>
  <c r="F32" i="4"/>
  <c r="H29" i="4"/>
  <c r="I29" i="4"/>
  <c r="K32" i="4" l="1"/>
  <c r="E32" i="4"/>
  <c r="D32" i="4" s="1"/>
  <c r="C32" i="4" s="1"/>
  <c r="H30" i="4"/>
  <c r="I30" i="4"/>
  <c r="C34" i="4" l="1"/>
  <c r="H32" i="4"/>
  <c r="I32" i="4"/>
  <c r="C38" i="4" l="1"/>
  <c r="D34" i="4"/>
  <c r="E34" i="4" s="1"/>
  <c r="F34" i="4" s="1"/>
  <c r="G34" i="4" s="1"/>
  <c r="H34" i="4"/>
  <c r="C35" i="4"/>
  <c r="I34" i="4"/>
  <c r="H35" i="4" l="1"/>
  <c r="I35" i="4"/>
  <c r="D35" i="4"/>
  <c r="I38" i="4"/>
  <c r="H38" i="4"/>
  <c r="C39" i="4"/>
  <c r="D38" i="4"/>
  <c r="E38" i="4" s="1"/>
  <c r="F38" i="4" s="1"/>
  <c r="G38" i="4" s="1"/>
  <c r="B36" i="4" l="1"/>
  <c r="E35" i="4"/>
  <c r="F35" i="4" s="1"/>
  <c r="G35" i="4" s="1"/>
  <c r="I39" i="4"/>
  <c r="H39" i="4"/>
  <c r="D39" i="4"/>
  <c r="C41" i="4"/>
  <c r="H41" i="4" s="1"/>
  <c r="I41" i="4"/>
  <c r="E39" i="4" l="1"/>
  <c r="F39" i="4" s="1"/>
  <c r="G39" i="4" s="1"/>
  <c r="B40" i="4"/>
</calcChain>
</file>

<file path=xl/sharedStrings.xml><?xml version="1.0" encoding="utf-8"?>
<sst xmlns="http://schemas.openxmlformats.org/spreadsheetml/2006/main" count="287" uniqueCount="163">
  <si>
    <t>m</t>
  </si>
  <si>
    <t>hold</t>
  </si>
  <si>
    <t>in</t>
  </si>
  <si>
    <t>troyer</t>
  </si>
  <si>
    <t>diff</t>
  </si>
  <si>
    <t>total diff</t>
  </si>
  <si>
    <t>ft</t>
  </si>
  <si>
    <t>tl orig</t>
  </si>
  <si>
    <t>length</t>
  </si>
  <si>
    <t>nippur</t>
  </si>
  <si>
    <t>TROYER CALCS</t>
  </si>
  <si>
    <t>CUBITS</t>
  </si>
  <si>
    <t>mm</t>
  </si>
  <si>
    <t>Newton</t>
  </si>
  <si>
    <t>Linear</t>
  </si>
  <si>
    <t>Area</t>
  </si>
  <si>
    <t>Volume</t>
  </si>
  <si>
    <t>Nippur</t>
  </si>
  <si>
    <t>Common</t>
  </si>
  <si>
    <t>Royal Egyptian</t>
  </si>
  <si>
    <t>Length</t>
  </si>
  <si>
    <t>cubits</t>
  </si>
  <si>
    <t>Width</t>
  </si>
  <si>
    <t>Height</t>
  </si>
  <si>
    <t>Beam Ctrs</t>
  </si>
  <si>
    <t>Hold Ctrs</t>
  </si>
  <si>
    <t>Bay Ctrs</t>
  </si>
  <si>
    <t>royal (mm)</t>
  </si>
  <si>
    <t>Frames</t>
  </si>
  <si>
    <t>Molded</t>
  </si>
  <si>
    <t>Sided</t>
  </si>
  <si>
    <t>Frame Sided</t>
  </si>
  <si>
    <t>Frame Pair Ctrs</t>
  </si>
  <si>
    <t>Planking</t>
  </si>
  <si>
    <t>Depth</t>
  </si>
  <si>
    <t>Keel Stem</t>
  </si>
  <si>
    <t>Breadth</t>
  </si>
  <si>
    <t>Ark on Royal</t>
  </si>
  <si>
    <t>dL</t>
  </si>
  <si>
    <t>dB</t>
  </si>
  <si>
    <t>dD</t>
  </si>
  <si>
    <t xml:space="preserve">Cubit Length Comparison (mm) </t>
  </si>
  <si>
    <t xml:space="preserve">Cubit Length Comparison (inches) </t>
  </si>
  <si>
    <t>planking</t>
  </si>
  <si>
    <t>#</t>
  </si>
  <si>
    <t xml:space="preserve">Cubit Length Comparison (feet) </t>
  </si>
  <si>
    <t>Parallel Mid</t>
  </si>
  <si>
    <t>TOTAL</t>
  </si>
  <si>
    <t>Bow Stem WL</t>
  </si>
  <si>
    <t>Bow WL</t>
  </si>
  <si>
    <t>Bow Total WL</t>
  </si>
  <si>
    <t>Stern Post WL</t>
  </si>
  <si>
    <t>Stern WL</t>
  </si>
  <si>
    <t>Stern Total WL</t>
  </si>
  <si>
    <t>Extreme Draft</t>
  </si>
  <si>
    <t>Hull Draft</t>
  </si>
  <si>
    <t>Keel Depth (Mid)</t>
  </si>
  <si>
    <t>Keel Depth max</t>
  </si>
  <si>
    <t>No. Frames</t>
  </si>
  <si>
    <t>% L</t>
  </si>
  <si>
    <t># Frames</t>
  </si>
  <si>
    <t>Beam/Frm Ctrs</t>
  </si>
  <si>
    <t>VERTICAL DIMENSIONS</t>
  </si>
  <si>
    <t>% D</t>
  </si>
  <si>
    <t>LENGTHWISE DIMENSIONS AND MODULES</t>
  </si>
  <si>
    <t>Outer Keel Breadth</t>
  </si>
  <si>
    <t>Bilge Keel Radius</t>
  </si>
  <si>
    <t>BREADTH DIMENSIONS (Displacement line/Outer skin)</t>
  </si>
  <si>
    <t>Outer Keel Ctr</t>
  </si>
  <si>
    <t>PARASOLID IMPORT/EXPORT</t>
  </si>
  <si>
    <t>Y datum to Centreline</t>
  </si>
  <si>
    <t>X datum to Bulkhead B</t>
  </si>
  <si>
    <t>Main Keel Breadth at B</t>
  </si>
  <si>
    <t>Main Keel Breadth at G</t>
  </si>
  <si>
    <t>% B</t>
  </si>
  <si>
    <t>Z datum to Biblical Bottom</t>
  </si>
  <si>
    <t>Z datum to plank underside</t>
  </si>
  <si>
    <t>ft to m</t>
  </si>
  <si>
    <t>Bottom Deck over BibleBot</t>
  </si>
  <si>
    <t>2nd level over BibleBot</t>
  </si>
  <si>
    <t>3rd level over BibleBot</t>
  </si>
  <si>
    <t>origin plane above bottom</t>
  </si>
  <si>
    <t>15 cubit draft</t>
  </si>
  <si>
    <t>waterplane above XY origin plane</t>
  </si>
  <si>
    <t>keel middle to bow step</t>
  </si>
  <si>
    <t>keel middle to XZ origin plane</t>
  </si>
  <si>
    <t xml:space="preserve">keel step </t>
  </si>
  <si>
    <t>keel step to XZ origing</t>
  </si>
  <si>
    <t>m3</t>
  </si>
  <si>
    <t>L</t>
  </si>
  <si>
    <t>B</t>
  </si>
  <si>
    <t>D</t>
  </si>
  <si>
    <t>Volume (CAD)</t>
  </si>
  <si>
    <t xml:space="preserve">m </t>
  </si>
  <si>
    <t>Volume (block)</t>
  </si>
  <si>
    <t>Block Coeff</t>
  </si>
  <si>
    <t>Mid Section Waterline</t>
  </si>
  <si>
    <t>MID</t>
  </si>
  <si>
    <t>BOW</t>
  </si>
  <si>
    <t>STERN</t>
  </si>
  <si>
    <t>cubit</t>
  </si>
  <si>
    <t>CAD datum setup data</t>
  </si>
  <si>
    <t>water density</t>
  </si>
  <si>
    <t>T/m3</t>
  </si>
  <si>
    <t>displacemnt</t>
  </si>
  <si>
    <t xml:space="preserve">T </t>
  </si>
  <si>
    <t>underwater Volume (CAD)</t>
  </si>
  <si>
    <t>m2</t>
  </si>
  <si>
    <t>Water-plane area AWP</t>
  </si>
  <si>
    <t>TPC=Awp*density/100</t>
  </si>
  <si>
    <t>T/cm</t>
  </si>
  <si>
    <t>Cwp=Awp/LB</t>
  </si>
  <si>
    <t>LB block waterplane area</t>
  </si>
  <si>
    <t>HALF</t>
  </si>
  <si>
    <t>FULL</t>
  </si>
  <si>
    <t>HONG</t>
  </si>
  <si>
    <t>Deadrise</t>
  </si>
  <si>
    <t>degs</t>
  </si>
  <si>
    <t>Vert rad</t>
  </si>
  <si>
    <t>Bilge rad</t>
  </si>
  <si>
    <t>PURE BLOCK</t>
  </si>
  <si>
    <t>Cb</t>
  </si>
  <si>
    <t>Loss</t>
  </si>
  <si>
    <t>IACS UR S11 — Vertical Wave Bending Moment</t>
  </si>
  <si>
    <t>Noah's Ark vs Panamax Bulk Carrier</t>
  </si>
  <si>
    <t>Formula:  Mw = k · C · L² · B · (Cb + 0.7) × 10⁻³  [kN·m]</t>
  </si>
  <si>
    <t>k = 110 (hogging)  |  k = 190 (sagging)  |  C = wave coefficient = 10.75 − ((300−L)/100)^1.5  for 100 ≤ L ≤ 300m</t>
  </si>
  <si>
    <t>INPUTS</t>
  </si>
  <si>
    <t>Parameter</t>
  </si>
  <si>
    <t>Noah's Ark</t>
  </si>
  <si>
    <t>Panamax</t>
  </si>
  <si>
    <t>Notes</t>
  </si>
  <si>
    <t>Length L (m)</t>
  </si>
  <si>
    <t>Ark: 300 × 0.524m | Panamax: typical</t>
  </si>
  <si>
    <t>Beam B (m)</t>
  </si>
  <si>
    <t>Ark: 50 × 0.524m | Panamax: typical</t>
  </si>
  <si>
    <t>Block coefficient Cb</t>
  </si>
  <si>
    <t>Ark: CAD AR-003-20110418 | Panamax: typical</t>
  </si>
  <si>
    <t>Draft T (m)</t>
  </si>
  <si>
    <t>Ark: 15 cubits (Gen 7:20) | Panamax: typical</t>
  </si>
  <si>
    <t>Wave coefficient C</t>
  </si>
  <si>
    <t>IACS UR S11 — valid 100 ≤ L ≤ 300m</t>
  </si>
  <si>
    <t>RESULTS</t>
  </si>
  <si>
    <t>Mw Hogging (kN·m)</t>
  </si>
  <si>
    <t>k=110</t>
  </si>
  <si>
    <t>Mw Sagging (kN·m)</t>
  </si>
  <si>
    <t>k=190</t>
  </si>
  <si>
    <t>Mw Hogging (MN·m)</t>
  </si>
  <si>
    <t>Mw Sagging (MN·m)</t>
  </si>
  <si>
    <t>Source: IACS Unified Requirement S11 (Rev.7, 2022). Blue cells = inputs (edit freely).</t>
  </si>
  <si>
    <t>IACS UR S11 — Vertical Wave Shear Force</t>
  </si>
  <si>
    <t>Formula:  Vw = k · C · L · B · (Cb + 0.7) × 10⁻²  [kN]</t>
  </si>
  <si>
    <t>k = 30 (positive/hogging shear)  |  k = 37 (negative/sagging shear)  |  C = wave coefficient (same as WBM sheet)</t>
  </si>
  <si>
    <t>Maximum shear occurs at approx. quarter-length points — governs hull wall, bulkhead connections, and frame sizing at L/4.</t>
  </si>
  <si>
    <t>INPUTS (linked from Wave Bending Moment sheet)</t>
  </si>
  <si>
    <t>Vw Positive/Hogging (kN)</t>
  </si>
  <si>
    <t>k=30</t>
  </si>
  <si>
    <t>Vw Negative/Sagging (kN)</t>
  </si>
  <si>
    <t>k=37</t>
  </si>
  <si>
    <t>Vw Positive/Hogging (MN)</t>
  </si>
  <si>
    <t>Vw Negative/Sagging (MN)</t>
  </si>
  <si>
    <t>Source: IACS UR S11 (Rev.7, 2022). Green cells = linked from WBM sheet — edit inputs there.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</si>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</sst>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7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DCDC"/>
        <bgColor rgb="FFC0C0C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4" fillId="0" borderId="0" xfId="0" applyFont="1"/>
    <xf numFmtId="0" fontId="3" fillId="0" borderId="1" xfId="0" applyFont="1" applyBorder="1"/>
    <xf numFmtId="0" fontId="0" fillId="0" borderId="1" xfId="0" applyBorder="1"/>
    <xf numFmtId="10" fontId="0" fillId="0" borderId="1" xfId="1" applyNumberFormat="1" applyFont="1" applyBorder="1"/>
    <xf numFmtId="2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10" fontId="2" fillId="0" borderId="1" xfId="1" applyNumberFormat="1" applyFont="1" applyBorder="1"/>
    <xf numFmtId="0" fontId="6" fillId="0" borderId="1" xfId="0" applyFont="1" applyBorder="1"/>
    <xf numFmtId="0" fontId="7" fillId="0" borderId="1" xfId="0" applyFont="1" applyBorder="1"/>
    <xf numFmtId="2" fontId="7" fillId="0" borderId="1" xfId="0" applyNumberFormat="1" applyFont="1" applyBorder="1"/>
    <xf numFmtId="10" fontId="7" fillId="0" borderId="1" xfId="1" applyNumberFormat="1" applyFont="1" applyBorder="1"/>
    <xf numFmtId="0" fontId="8" fillId="0" borderId="0" xfId="0" applyFont="1"/>
    <xf numFmtId="0" fontId="3" fillId="0" borderId="0" xfId="0" applyFont="1" applyAlignment="1">
      <alignment horizontal="center"/>
    </xf>
    <xf numFmtId="0" fontId="9" fillId="0" borderId="0" xfId="0" applyFont="1"/>
    <xf numFmtId="0" fontId="2" fillId="0" borderId="0" xfId="0" applyFont="1"/>
    <xf numFmtId="0" fontId="5" fillId="0" borderId="0" xfId="0" applyFont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0" fillId="0" borderId="2" xfId="0" applyBorder="1"/>
    <xf numFmtId="0" fontId="0" fillId="4" borderId="0" xfId="0" applyFill="1"/>
    <xf numFmtId="0" fontId="3" fillId="4" borderId="0" xfId="0" applyFont="1" applyFill="1"/>
    <xf numFmtId="0" fontId="0" fillId="4" borderId="0" xfId="0" applyFill="1" applyAlignment="1">
      <alignment horizontal="center"/>
    </xf>
    <xf numFmtId="0" fontId="6" fillId="4" borderId="6" xfId="0" applyFont="1" applyFill="1" applyBorder="1"/>
    <xf numFmtId="0" fontId="7" fillId="4" borderId="1" xfId="0" applyFont="1" applyFill="1" applyBorder="1"/>
    <xf numFmtId="10" fontId="7" fillId="4" borderId="1" xfId="1" applyNumberFormat="1" applyFont="1" applyFill="1" applyBorder="1"/>
    <xf numFmtId="10" fontId="7" fillId="4" borderId="7" xfId="1" applyNumberFormat="1" applyFont="1" applyFill="1" applyBorder="1"/>
    <xf numFmtId="0" fontId="10" fillId="4" borderId="6" xfId="0" applyFont="1" applyFill="1" applyBorder="1"/>
    <xf numFmtId="0" fontId="10" fillId="4" borderId="1" xfId="0" applyFont="1" applyFill="1" applyBorder="1"/>
    <xf numFmtId="0" fontId="10" fillId="4" borderId="7" xfId="0" applyFont="1" applyFill="1" applyBorder="1"/>
    <xf numFmtId="0" fontId="5" fillId="4" borderId="6" xfId="0" applyFont="1" applyFill="1" applyBorder="1"/>
    <xf numFmtId="0" fontId="2" fillId="4" borderId="1" xfId="0" applyFont="1" applyFill="1" applyBorder="1"/>
    <xf numFmtId="10" fontId="2" fillId="4" borderId="1" xfId="1" applyNumberFormat="1" applyFont="1" applyFill="1" applyBorder="1"/>
    <xf numFmtId="10" fontId="2" fillId="4" borderId="7" xfId="1" applyNumberFormat="1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3" fillId="4" borderId="8" xfId="0" applyFont="1" applyFill="1" applyBorder="1"/>
    <xf numFmtId="0" fontId="0" fillId="4" borderId="9" xfId="0" applyFill="1" applyBorder="1"/>
    <xf numFmtId="10" fontId="0" fillId="4" borderId="9" xfId="1" applyNumberFormat="1" applyFont="1" applyFill="1" applyBorder="1"/>
    <xf numFmtId="10" fontId="0" fillId="4" borderId="10" xfId="1" applyNumberFormat="1" applyFont="1" applyFill="1" applyBorder="1"/>
    <xf numFmtId="0" fontId="0" fillId="4" borderId="8" xfId="0" applyFill="1" applyBorder="1"/>
    <xf numFmtId="0" fontId="0" fillId="4" borderId="10" xfId="0" applyFill="1" applyBorder="1"/>
    <xf numFmtId="2" fontId="0" fillId="4" borderId="0" xfId="0" applyNumberFormat="1" applyFill="1"/>
    <xf numFmtId="10" fontId="0" fillId="4" borderId="0" xfId="1" applyNumberFormat="1" applyFont="1" applyFill="1" applyBorder="1"/>
    <xf numFmtId="0" fontId="3" fillId="4" borderId="0" xfId="0" applyFont="1" applyFill="1" applyAlignment="1">
      <alignment horizontal="center"/>
    </xf>
    <xf numFmtId="0" fontId="8" fillId="4" borderId="6" xfId="0" applyFont="1" applyFill="1" applyBorder="1"/>
    <xf numFmtId="0" fontId="8" fillId="4" borderId="1" xfId="0" applyFont="1" applyFill="1" applyBorder="1"/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8" fillId="4" borderId="7" xfId="0" applyFont="1" applyFill="1" applyBorder="1"/>
    <xf numFmtId="0" fontId="0" fillId="4" borderId="12" xfId="0" applyFill="1" applyBorder="1" applyAlignment="1">
      <alignment horizontal="center"/>
    </xf>
    <xf numFmtId="0" fontId="3" fillId="4" borderId="3" xfId="0" applyFont="1" applyFill="1" applyBorder="1"/>
    <xf numFmtId="0" fontId="0" fillId="4" borderId="14" xfId="0" applyFill="1" applyBorder="1"/>
    <xf numFmtId="10" fontId="0" fillId="4" borderId="4" xfId="1" applyNumberFormat="1" applyFont="1" applyFill="1" applyBorder="1"/>
    <xf numFmtId="10" fontId="0" fillId="4" borderId="5" xfId="1" applyNumberFormat="1" applyFont="1" applyFill="1" applyBorder="1"/>
    <xf numFmtId="164" fontId="0" fillId="0" borderId="0" xfId="1" applyNumberFormat="1" applyFont="1" applyBorder="1"/>
    <xf numFmtId="9" fontId="0" fillId="0" borderId="1" xfId="1" applyFont="1" applyBorder="1"/>
    <xf numFmtId="10" fontId="0" fillId="0" borderId="1" xfId="1" applyNumberFormat="1" applyFont="1" applyFill="1" applyBorder="1"/>
    <xf numFmtId="164" fontId="0" fillId="0" borderId="1" xfId="1" applyNumberFormat="1" applyFont="1" applyBorder="1"/>
    <xf numFmtId="0" fontId="11" fillId="0" borderId="0" xfId="0" applyFont="1"/>
    <xf numFmtId="10" fontId="1" fillId="0" borderId="1" xfId="1" applyNumberFormat="1" applyFont="1" applyFill="1" applyBorder="1"/>
    <xf numFmtId="0" fontId="12" fillId="0" borderId="0" xfId="0" applyFont="1"/>
    <xf numFmtId="0" fontId="0" fillId="0" borderId="0" xfId="0" applyAlignment="1">
      <alignment horizontal="right"/>
    </xf>
    <xf numFmtId="0" fontId="13" fillId="0" borderId="0" xfId="0" applyFont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1" xfId="0" applyFill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7" fillId="5" borderId="0" xfId="0" applyFont="1" applyFill="1"/>
    <xf numFmtId="0" fontId="17" fillId="5" borderId="0" xfId="0" applyFont="1" applyFill="1" applyAlignment="1">
      <alignment horizontal="center"/>
    </xf>
    <xf numFmtId="0" fontId="19" fillId="0" borderId="0" xfId="0" applyFont="1"/>
    <xf numFmtId="2" fontId="20" fillId="0" borderId="0" xfId="0" applyNumberFormat="1" applyFont="1"/>
    <xf numFmtId="0" fontId="18" fillId="0" borderId="0" xfId="0" applyFont="1"/>
    <xf numFmtId="167" fontId="21" fillId="0" borderId="0" xfId="0" applyNumberFormat="1" applyFont="1"/>
    <xf numFmtId="3" fontId="19" fillId="0" borderId="0" xfId="0" applyNumberFormat="1" applyFont="1"/>
    <xf numFmtId="167" fontId="2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love/AppData/Local/Temp/MicrosoftEdgeDownloads/f243cf3f-c7d3-49ae-a28b-1b88b1777520/wave_loads.xlsx" TargetMode="External"/><Relationship Id="rId2" Type="http://schemas.openxmlformats.org/officeDocument/2006/relationships/externalLinkPath" Target="file:///C:\Users\tlove\AppData\Local\Temp\MicrosoftEdgeDownloads\f243cf3f-c7d3-49ae-a28b-1b88b1777520\wave_loads.xlsx" TargetMode="External"/><Relationship Id="rId1" Type="http://schemas.openxmlformats.org/officeDocument/2006/relationships/externalLinkPath" Target="/Users/tlove/AppData/Local/Temp/MicrosoftEdgeDownloads/f243cf3f-c7d3-49ae-a28b-1b88b1777520/wave_loa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ave Bending Moment"/>
      <sheetName val="Wave Shear Force"/>
    </sheetNames>
    <sheetDataSet>
      <sheetData sheetId="0">
        <row r="9">
          <cell r="D9" t="str">
            <v>Ark: 300 × 0.524m | Panamax: typical</v>
          </cell>
        </row>
        <row r="10">
          <cell r="D10" t="str">
            <v>Ark: 50 × 0.524m | Panamax: typical</v>
          </cell>
        </row>
        <row r="11">
          <cell r="D11" t="str">
            <v>Ark: CAD AR-003-20110418 | Panamax: typical</v>
          </cell>
        </row>
        <row r="13">
          <cell r="D13" t="str">
            <v>IACS UR S11 — valid 100 ≤ L ≤ 300m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workbookViewId="0">
      <selection activeCell="I9" sqref="I9:I10"/>
    </sheetView>
  </sheetViews>
  <sheetFormatPr defaultRowHeight="15" x14ac:dyDescent="0.25"/>
  <cols>
    <col min="1" max="1" width="12.42578125" customWidth="1"/>
    <col min="2" max="2" width="14.42578125" bestFit="1" customWidth="1"/>
    <col min="9" max="9" width="13.7109375" bestFit="1" customWidth="1"/>
    <col min="10" max="10" width="6" bestFit="1" customWidth="1"/>
    <col min="11" max="11" width="6.7109375" customWidth="1"/>
  </cols>
  <sheetData>
    <row r="1" spans="1:12" ht="23.25" x14ac:dyDescent="0.35">
      <c r="A1" s="1" t="s">
        <v>10</v>
      </c>
    </row>
    <row r="3" spans="1:12" x14ac:dyDescent="0.25">
      <c r="B3" s="6" t="s">
        <v>11</v>
      </c>
      <c r="C3" s="7" t="s">
        <v>12</v>
      </c>
      <c r="D3" s="7" t="s">
        <v>2</v>
      </c>
      <c r="E3" s="6" t="s">
        <v>14</v>
      </c>
      <c r="F3" s="6" t="s">
        <v>15</v>
      </c>
      <c r="G3" s="6" t="s">
        <v>16</v>
      </c>
    </row>
    <row r="4" spans="1:12" x14ac:dyDescent="0.25">
      <c r="B4" s="2" t="s">
        <v>18</v>
      </c>
      <c r="C4">
        <f>18*25.4</f>
        <v>457.2</v>
      </c>
      <c r="D4" s="5">
        <f t="shared" ref="D4:D5" si="0">C4/25.4</f>
        <v>18</v>
      </c>
      <c r="E4" s="4">
        <f>C4/C5*E5</f>
        <v>0.88262548262548257</v>
      </c>
      <c r="F4" s="4">
        <f>E4^2</f>
        <v>0.77902774257986607</v>
      </c>
      <c r="G4" s="4">
        <f>E4^3</f>
        <v>0.6875897372731945</v>
      </c>
    </row>
    <row r="5" spans="1:12" x14ac:dyDescent="0.25">
      <c r="B5" s="12" t="s">
        <v>17</v>
      </c>
      <c r="C5" s="13">
        <v>518</v>
      </c>
      <c r="D5" s="14">
        <f t="shared" si="0"/>
        <v>20.393700787401578</v>
      </c>
      <c r="E5" s="15">
        <v>1</v>
      </c>
      <c r="F5" s="15">
        <f t="shared" ref="F5" si="1">E5^2</f>
        <v>1</v>
      </c>
      <c r="G5" s="15">
        <f t="shared" ref="G5" si="2">E5^3</f>
        <v>1</v>
      </c>
    </row>
    <row r="6" spans="1:12" x14ac:dyDescent="0.25">
      <c r="B6" s="8" t="s">
        <v>19</v>
      </c>
      <c r="C6" s="9">
        <v>524</v>
      </c>
      <c r="D6" s="10">
        <f>C6/25.4</f>
        <v>20.629921259842522</v>
      </c>
      <c r="E6" s="11">
        <f>C6/C5*E5</f>
        <v>1.0115830115830116</v>
      </c>
      <c r="F6" s="11">
        <f>E6^2</f>
        <v>1.0233001893233553</v>
      </c>
      <c r="G6" s="11">
        <f>E6^3</f>
        <v>1.0351530872691856</v>
      </c>
    </row>
    <row r="7" spans="1:12" x14ac:dyDescent="0.25">
      <c r="B7" s="2" t="s">
        <v>13</v>
      </c>
      <c r="C7" s="3">
        <f>25*25.4</f>
        <v>635</v>
      </c>
      <c r="D7" s="5">
        <f>C7/25.4</f>
        <v>25</v>
      </c>
      <c r="E7" s="4">
        <f>C7/C5*E5</f>
        <v>1.225868725868726</v>
      </c>
      <c r="F7" s="4">
        <f>E7^2</f>
        <v>1.5027541330630136</v>
      </c>
      <c r="G7" s="4">
        <f>E7^3</f>
        <v>1.8421792943919184</v>
      </c>
    </row>
    <row r="9" spans="1:12" x14ac:dyDescent="0.25">
      <c r="A9" t="s">
        <v>7</v>
      </c>
      <c r="B9" t="s">
        <v>1</v>
      </c>
      <c r="C9">
        <v>912.89700000000005</v>
      </c>
      <c r="D9" t="s">
        <v>2</v>
      </c>
    </row>
    <row r="10" spans="1:12" x14ac:dyDescent="0.25">
      <c r="B10" s="16" t="s">
        <v>3</v>
      </c>
      <c r="C10" s="16">
        <f>71*12+6</f>
        <v>858</v>
      </c>
      <c r="D10" s="16" t="s">
        <v>2</v>
      </c>
      <c r="E10" s="16">
        <f>C10*25.4/1000</f>
        <v>21.793199999999999</v>
      </c>
      <c r="F10" s="16" t="s">
        <v>0</v>
      </c>
    </row>
    <row r="11" spans="1:12" x14ac:dyDescent="0.25">
      <c r="B11" t="s">
        <v>4</v>
      </c>
      <c r="C11">
        <f>C9-C10</f>
        <v>54.897000000000048</v>
      </c>
      <c r="D11" t="s">
        <v>2</v>
      </c>
    </row>
    <row r="12" spans="1:12" x14ac:dyDescent="0.25">
      <c r="B12" t="s">
        <v>5</v>
      </c>
      <c r="C12">
        <f>C11*5</f>
        <v>274.48500000000024</v>
      </c>
      <c r="D12" t="s">
        <v>2</v>
      </c>
      <c r="E12">
        <f>C12/12</f>
        <v>22.873750000000019</v>
      </c>
      <c r="F12" t="s">
        <v>6</v>
      </c>
    </row>
    <row r="13" spans="1:12" x14ac:dyDescent="0.25">
      <c r="L13" s="18"/>
    </row>
    <row r="14" spans="1:12" x14ac:dyDescent="0.25">
      <c r="A14" t="s">
        <v>8</v>
      </c>
      <c r="B14" s="16" t="s">
        <v>3</v>
      </c>
      <c r="C14" s="16">
        <f>510*12</f>
        <v>6120</v>
      </c>
      <c r="D14" s="16" t="s">
        <v>2</v>
      </c>
      <c r="E14" s="16">
        <f>C14*25.4/1000</f>
        <v>155.44800000000001</v>
      </c>
      <c r="F14" s="16"/>
    </row>
    <row r="15" spans="1:12" x14ac:dyDescent="0.25">
      <c r="B15" s="16" t="s">
        <v>9</v>
      </c>
      <c r="C15" s="16">
        <f>E15*1000/25.4</f>
        <v>6118.1102362204729</v>
      </c>
      <c r="D15" s="16" t="s">
        <v>2</v>
      </c>
      <c r="E15" s="16">
        <f>300*0.518</f>
        <v>155.4</v>
      </c>
      <c r="F15" s="16"/>
      <c r="G15" s="16">
        <f>C15/12</f>
        <v>509.84251968503941</v>
      </c>
      <c r="H15" s="16" t="s">
        <v>6</v>
      </c>
    </row>
    <row r="16" spans="1:12" x14ac:dyDescent="0.25">
      <c r="B16" s="16"/>
      <c r="C16" s="16"/>
      <c r="D16" s="16"/>
      <c r="E16" s="16"/>
      <c r="F16" s="16"/>
      <c r="G16" s="16"/>
      <c r="H16" s="16"/>
    </row>
    <row r="17" spans="1:18" x14ac:dyDescent="0.25">
      <c r="A17" s="21" t="s">
        <v>27</v>
      </c>
      <c r="B17" s="22">
        <v>524</v>
      </c>
      <c r="C17" s="23" t="s">
        <v>21</v>
      </c>
      <c r="D17" s="23" t="s">
        <v>12</v>
      </c>
      <c r="E17" s="23" t="s">
        <v>0</v>
      </c>
      <c r="F17" s="23" t="s">
        <v>6</v>
      </c>
      <c r="G17" s="23" t="s">
        <v>2</v>
      </c>
      <c r="N17" s="16"/>
    </row>
    <row r="18" spans="1:18" x14ac:dyDescent="0.25">
      <c r="A18" s="3"/>
      <c r="B18" s="2" t="s">
        <v>20</v>
      </c>
      <c r="C18" s="9">
        <v>300</v>
      </c>
      <c r="D18" s="3">
        <f>C18*B17</f>
        <v>157200</v>
      </c>
      <c r="E18" s="3">
        <f>D18/1000</f>
        <v>157.19999999999999</v>
      </c>
      <c r="F18" s="3">
        <f>E18/0.3048</f>
        <v>515.74803149606294</v>
      </c>
      <c r="G18" s="3">
        <f>F18*12</f>
        <v>6188.9763779527548</v>
      </c>
      <c r="I18" s="19"/>
      <c r="J18" s="19"/>
      <c r="K18" s="19"/>
      <c r="L18" s="19"/>
      <c r="N18" s="19"/>
      <c r="R18" s="18"/>
    </row>
    <row r="19" spans="1:18" x14ac:dyDescent="0.25">
      <c r="A19" s="3"/>
      <c r="B19" s="3" t="s">
        <v>31</v>
      </c>
      <c r="C19" s="9">
        <v>0.8</v>
      </c>
      <c r="D19" s="3">
        <f>C19*B17</f>
        <v>419.20000000000005</v>
      </c>
      <c r="E19" s="3">
        <f>D19/1000</f>
        <v>0.41920000000000007</v>
      </c>
      <c r="F19" s="3">
        <f>E19/0.3048</f>
        <v>1.3753280839895015</v>
      </c>
      <c r="G19" s="3">
        <f>F19*12</f>
        <v>16.503937007874018</v>
      </c>
      <c r="I19" s="19"/>
      <c r="J19" s="19"/>
      <c r="K19" s="20"/>
      <c r="L19" s="19"/>
      <c r="N19" s="19"/>
    </row>
    <row r="20" spans="1:18" x14ac:dyDescent="0.25">
      <c r="A20" s="3">
        <v>2</v>
      </c>
      <c r="B20" s="3" t="s">
        <v>32</v>
      </c>
      <c r="C20" s="3">
        <f>C21/$A$20</f>
        <v>1.7853053435114503</v>
      </c>
      <c r="D20" s="3">
        <f t="shared" ref="D20:G20" si="3">D21/$A$20</f>
        <v>935.5</v>
      </c>
      <c r="E20" s="3">
        <f t="shared" si="3"/>
        <v>0.9355</v>
      </c>
      <c r="F20" s="3">
        <f t="shared" si="3"/>
        <v>3.0692257217847767</v>
      </c>
      <c r="G20" s="3">
        <f t="shared" si="3"/>
        <v>36.830708661417319</v>
      </c>
      <c r="I20" s="19"/>
      <c r="J20" s="19"/>
      <c r="K20" s="20"/>
      <c r="L20" s="19"/>
      <c r="N20" s="19"/>
    </row>
    <row r="21" spans="1:18" x14ac:dyDescent="0.25">
      <c r="A21" s="9"/>
      <c r="B21" s="3" t="s">
        <v>24</v>
      </c>
      <c r="C21" s="3">
        <f>D21/B17</f>
        <v>3.5706106870229006</v>
      </c>
      <c r="D21" s="3">
        <v>1871</v>
      </c>
      <c r="E21" s="3">
        <f>D21/1000</f>
        <v>1.871</v>
      </c>
      <c r="F21" s="3">
        <f>E21/0.3048</f>
        <v>6.1384514435695534</v>
      </c>
      <c r="G21" s="3">
        <f>F21*12</f>
        <v>73.661417322834637</v>
      </c>
      <c r="I21" s="19"/>
      <c r="J21" s="19"/>
      <c r="K21" s="20"/>
      <c r="L21" s="19"/>
      <c r="N21" s="19"/>
    </row>
    <row r="22" spans="1:18" x14ac:dyDescent="0.25">
      <c r="A22" s="3">
        <v>3</v>
      </c>
      <c r="B22" s="3" t="s">
        <v>26</v>
      </c>
      <c r="C22" s="3">
        <f>C21*$A$22</f>
        <v>10.711832061068701</v>
      </c>
      <c r="D22" s="3">
        <f>D21*$A$22</f>
        <v>5613</v>
      </c>
      <c r="E22" s="3">
        <f>E21*$A$22</f>
        <v>5.6129999999999995</v>
      </c>
      <c r="F22" s="3">
        <f>F21*$A$22</f>
        <v>18.415354330708659</v>
      </c>
      <c r="G22" s="3">
        <f>G21*$A$22</f>
        <v>220.98425196850391</v>
      </c>
      <c r="I22" s="19"/>
      <c r="J22" s="19"/>
      <c r="K22" s="20"/>
      <c r="L22" s="19"/>
      <c r="M22" s="19"/>
      <c r="N22" s="19"/>
    </row>
    <row r="23" spans="1:18" x14ac:dyDescent="0.25">
      <c r="A23" s="3">
        <v>4</v>
      </c>
      <c r="B23" s="3" t="s">
        <v>25</v>
      </c>
      <c r="C23" s="3">
        <f>C22*4</f>
        <v>42.847328244274806</v>
      </c>
      <c r="D23" s="3">
        <f>D22*$A$23</f>
        <v>22452</v>
      </c>
      <c r="E23" s="3">
        <f t="shared" ref="E23:G23" si="4">E22*$A$23</f>
        <v>22.451999999999998</v>
      </c>
      <c r="F23" s="3">
        <f t="shared" si="4"/>
        <v>73.661417322834637</v>
      </c>
      <c r="G23" s="3">
        <f t="shared" si="4"/>
        <v>883.93700787401565</v>
      </c>
      <c r="H23" s="25"/>
      <c r="I23" s="19"/>
      <c r="J23" s="19"/>
      <c r="K23" s="20"/>
      <c r="L23" s="19"/>
      <c r="M23" s="19"/>
      <c r="N23" s="19"/>
    </row>
    <row r="24" spans="1:18" ht="3.75" customHeight="1" x14ac:dyDescent="0.25">
      <c r="I24" s="19"/>
      <c r="J24" s="19"/>
      <c r="K24" s="20"/>
      <c r="L24" s="19"/>
      <c r="M24" s="19"/>
      <c r="N24" s="19"/>
    </row>
    <row r="25" spans="1:18" x14ac:dyDescent="0.25">
      <c r="A25" s="3"/>
      <c r="B25" s="2" t="s">
        <v>22</v>
      </c>
      <c r="C25" s="9">
        <v>50</v>
      </c>
      <c r="D25" s="3">
        <f>C25*B17</f>
        <v>26200</v>
      </c>
      <c r="E25" s="3">
        <f>D25/1000</f>
        <v>26.2</v>
      </c>
      <c r="F25" s="3">
        <f>E25/0.3048</f>
        <v>85.958005249343827</v>
      </c>
      <c r="G25" s="3">
        <f>F25*12</f>
        <v>1031.4960629921259</v>
      </c>
    </row>
    <row r="26" spans="1:18" x14ac:dyDescent="0.25">
      <c r="A26" s="3"/>
      <c r="B26" s="2" t="s">
        <v>23</v>
      </c>
      <c r="C26" s="9">
        <v>30</v>
      </c>
      <c r="D26" s="3">
        <f>C26*B17</f>
        <v>15720</v>
      </c>
      <c r="E26" s="3">
        <f>D26/1000</f>
        <v>15.72</v>
      </c>
      <c r="F26" s="3">
        <f>E26/0.3048</f>
        <v>51.574803149606296</v>
      </c>
      <c r="G26" s="3">
        <f>F26*12</f>
        <v>618.89763779527561</v>
      </c>
    </row>
    <row r="28" spans="1:18" x14ac:dyDescent="0.25">
      <c r="B28" s="17" t="s">
        <v>29</v>
      </c>
      <c r="C28" s="17" t="s">
        <v>30</v>
      </c>
      <c r="D28" s="17" t="s">
        <v>34</v>
      </c>
    </row>
    <row r="29" spans="1:18" x14ac:dyDescent="0.25">
      <c r="A29" s="24" t="s">
        <v>28</v>
      </c>
      <c r="B29">
        <v>33</v>
      </c>
      <c r="C29">
        <v>18</v>
      </c>
    </row>
    <row r="30" spans="1:18" x14ac:dyDescent="0.25">
      <c r="A30" s="24" t="s">
        <v>33</v>
      </c>
      <c r="B30">
        <v>5</v>
      </c>
      <c r="D30">
        <v>14</v>
      </c>
      <c r="G30">
        <v>3500000</v>
      </c>
      <c r="I30">
        <v>12000</v>
      </c>
    </row>
    <row r="31" spans="1:18" x14ac:dyDescent="0.25">
      <c r="A31" s="24" t="s">
        <v>35</v>
      </c>
      <c r="B31">
        <v>60</v>
      </c>
      <c r="C31">
        <v>60</v>
      </c>
      <c r="G31">
        <f>G30/5240</f>
        <v>667.93893129770993</v>
      </c>
      <c r="I31">
        <f>PI()*I30</f>
        <v>37699.111843077517</v>
      </c>
    </row>
    <row r="32" spans="1:18" x14ac:dyDescent="0.25">
      <c r="I32">
        <f>I31/1.6</f>
        <v>23561.944901923445</v>
      </c>
    </row>
    <row r="34" spans="7:9" x14ac:dyDescent="0.25">
      <c r="G34">
        <v>5.66</v>
      </c>
      <c r="H34">
        <f>G34*12</f>
        <v>67.92</v>
      </c>
      <c r="I34">
        <f>H34*25.4</f>
        <v>1725.1679999999999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2"/>
  <sheetViews>
    <sheetView workbookViewId="0">
      <selection activeCell="F4" sqref="F4:H4"/>
    </sheetView>
  </sheetViews>
  <sheetFormatPr defaultRowHeight="15" x14ac:dyDescent="0.25"/>
  <cols>
    <col min="1" max="1" width="24.85546875" customWidth="1"/>
    <col min="7" max="7" width="8.28515625" customWidth="1"/>
    <col min="8" max="8" width="9.140625" bestFit="1" customWidth="1"/>
    <col min="9" max="9" width="8.140625" customWidth="1"/>
    <col min="10" max="10" width="7.140625" customWidth="1"/>
    <col min="11" max="11" width="8.7109375" customWidth="1"/>
    <col min="12" max="12" width="7.140625" customWidth="1"/>
  </cols>
  <sheetData>
    <row r="1" spans="1:15" ht="23.25" x14ac:dyDescent="0.35">
      <c r="A1" s="1" t="s">
        <v>37</v>
      </c>
      <c r="C1" s="72" t="s">
        <v>77</v>
      </c>
      <c r="D1" s="71">
        <v>3.2808398950131199</v>
      </c>
      <c r="G1">
        <f>1/D1</f>
        <v>0.30480000000000035</v>
      </c>
    </row>
    <row r="2" spans="1:15" ht="15.75" thickBot="1" x14ac:dyDescent="0.3">
      <c r="A2" s="27" t="s">
        <v>41</v>
      </c>
      <c r="B2" s="26"/>
      <c r="C2" s="26"/>
      <c r="D2" s="26"/>
      <c r="E2" s="26"/>
      <c r="F2" s="28">
        <v>300</v>
      </c>
      <c r="G2" s="28">
        <v>50</v>
      </c>
      <c r="H2" s="28">
        <v>30</v>
      </c>
      <c r="I2" s="26"/>
      <c r="J2" s="26"/>
      <c r="K2" s="26"/>
      <c r="L2" s="26"/>
    </row>
    <row r="3" spans="1:15" ht="15.75" thickBot="1" x14ac:dyDescent="0.3">
      <c r="A3" s="53" t="s">
        <v>11</v>
      </c>
      <c r="B3" s="60" t="s">
        <v>12</v>
      </c>
      <c r="C3" s="54" t="s">
        <v>14</v>
      </c>
      <c r="D3" s="54" t="s">
        <v>15</v>
      </c>
      <c r="E3" s="55" t="s">
        <v>16</v>
      </c>
      <c r="F3" s="53" t="s">
        <v>20</v>
      </c>
      <c r="G3" s="54" t="s">
        <v>36</v>
      </c>
      <c r="H3" s="54" t="s">
        <v>34</v>
      </c>
      <c r="I3" s="54" t="s">
        <v>38</v>
      </c>
      <c r="J3" s="54" t="s">
        <v>39</v>
      </c>
      <c r="K3" s="55" t="s">
        <v>40</v>
      </c>
      <c r="L3" s="26"/>
      <c r="M3" s="3"/>
      <c r="N3" s="3" t="s">
        <v>43</v>
      </c>
      <c r="O3" s="3"/>
    </row>
    <row r="4" spans="1:15" x14ac:dyDescent="0.25">
      <c r="A4" s="61" t="s">
        <v>18</v>
      </c>
      <c r="B4" s="62">
        <f>18*25.4</f>
        <v>457.2</v>
      </c>
      <c r="C4" s="63">
        <f>B4/B5*C5</f>
        <v>0.88262548262548257</v>
      </c>
      <c r="D4" s="63">
        <f>C4^2</f>
        <v>0.77902774257986607</v>
      </c>
      <c r="E4" s="64">
        <f>C4^3</f>
        <v>0.6875897372731945</v>
      </c>
      <c r="F4" s="56">
        <f t="shared" ref="F4:H7" si="0">F$2*$B4</f>
        <v>137160</v>
      </c>
      <c r="G4" s="57">
        <f t="shared" si="0"/>
        <v>22860</v>
      </c>
      <c r="H4" s="57">
        <f t="shared" si="0"/>
        <v>13716</v>
      </c>
      <c r="I4" s="57">
        <f t="shared" ref="I4:K7" si="1">F4-F$5</f>
        <v>-18240</v>
      </c>
      <c r="J4" s="57">
        <f t="shared" si="1"/>
        <v>-3040</v>
      </c>
      <c r="K4" s="58">
        <f t="shared" si="1"/>
        <v>-1824</v>
      </c>
      <c r="L4" s="26"/>
      <c r="M4" s="3" t="s">
        <v>44</v>
      </c>
      <c r="N4" s="3" t="s">
        <v>2</v>
      </c>
      <c r="O4" s="3" t="s">
        <v>12</v>
      </c>
    </row>
    <row r="5" spans="1:15" x14ac:dyDescent="0.25">
      <c r="A5" s="29" t="s">
        <v>17</v>
      </c>
      <c r="B5" s="30">
        <v>518</v>
      </c>
      <c r="C5" s="31">
        <v>1</v>
      </c>
      <c r="D5" s="31">
        <f t="shared" ref="D5" si="2">C5^2</f>
        <v>1</v>
      </c>
      <c r="E5" s="32">
        <f t="shared" ref="E5" si="3">C5^3</f>
        <v>1</v>
      </c>
      <c r="F5" s="33">
        <f t="shared" si="0"/>
        <v>155400</v>
      </c>
      <c r="G5" s="34">
        <f t="shared" si="0"/>
        <v>25900</v>
      </c>
      <c r="H5" s="34">
        <f t="shared" si="0"/>
        <v>15540</v>
      </c>
      <c r="I5" s="34">
        <f t="shared" si="1"/>
        <v>0</v>
      </c>
      <c r="J5" s="34">
        <f t="shared" si="1"/>
        <v>0</v>
      </c>
      <c r="K5" s="35">
        <f t="shared" si="1"/>
        <v>0</v>
      </c>
      <c r="L5" s="26"/>
      <c r="M5" s="3">
        <v>1</v>
      </c>
      <c r="N5" s="3">
        <v>5</v>
      </c>
      <c r="O5" s="3">
        <f>N5*25.4</f>
        <v>127</v>
      </c>
    </row>
    <row r="6" spans="1:15" x14ac:dyDescent="0.25">
      <c r="A6" s="36" t="s">
        <v>19</v>
      </c>
      <c r="B6" s="37">
        <v>524</v>
      </c>
      <c r="C6" s="38">
        <f>B6/B5*C5</f>
        <v>1.0115830115830116</v>
      </c>
      <c r="D6" s="38">
        <f>C6^2</f>
        <v>1.0233001893233553</v>
      </c>
      <c r="E6" s="39">
        <f>C6^3</f>
        <v>1.0351530872691856</v>
      </c>
      <c r="F6" s="40">
        <f t="shared" si="0"/>
        <v>157200</v>
      </c>
      <c r="G6" s="37">
        <f t="shared" si="0"/>
        <v>26200</v>
      </c>
      <c r="H6" s="37">
        <f t="shared" si="0"/>
        <v>15720</v>
      </c>
      <c r="I6" s="37">
        <f t="shared" si="1"/>
        <v>1800</v>
      </c>
      <c r="J6" s="37">
        <f t="shared" si="1"/>
        <v>300</v>
      </c>
      <c r="K6" s="41">
        <f t="shared" si="1"/>
        <v>180</v>
      </c>
      <c r="L6" s="26"/>
      <c r="M6" s="3">
        <v>2</v>
      </c>
      <c r="N6" s="3">
        <f>M6*N$5</f>
        <v>10</v>
      </c>
      <c r="O6" s="3">
        <f>M6*O$5</f>
        <v>254</v>
      </c>
    </row>
    <row r="7" spans="1:15" ht="15.75" thickBot="1" x14ac:dyDescent="0.3">
      <c r="A7" s="42" t="s">
        <v>13</v>
      </c>
      <c r="B7" s="43">
        <f>25*25.4</f>
        <v>635</v>
      </c>
      <c r="C7" s="44">
        <f>B7/B5*C5</f>
        <v>1.225868725868726</v>
      </c>
      <c r="D7" s="44">
        <f>C7^2</f>
        <v>1.5027541330630136</v>
      </c>
      <c r="E7" s="45">
        <f>C7^3</f>
        <v>1.8421792943919184</v>
      </c>
      <c r="F7" s="46">
        <f t="shared" si="0"/>
        <v>190500</v>
      </c>
      <c r="G7" s="43">
        <f t="shared" si="0"/>
        <v>31750</v>
      </c>
      <c r="H7" s="43">
        <f t="shared" si="0"/>
        <v>19050</v>
      </c>
      <c r="I7" s="43">
        <f t="shared" si="1"/>
        <v>35100</v>
      </c>
      <c r="J7" s="43">
        <f t="shared" si="1"/>
        <v>5850</v>
      </c>
      <c r="K7" s="47">
        <f t="shared" si="1"/>
        <v>3510</v>
      </c>
      <c r="L7" s="26"/>
      <c r="M7" s="3">
        <v>3</v>
      </c>
      <c r="N7" s="3">
        <f>M7*N$5</f>
        <v>15</v>
      </c>
      <c r="O7" s="3">
        <f>M7*O$5</f>
        <v>381</v>
      </c>
    </row>
    <row r="8" spans="1:15" x14ac:dyDescent="0.25">
      <c r="A8" s="27"/>
      <c r="B8" s="26"/>
      <c r="C8" s="48"/>
      <c r="D8" s="49"/>
      <c r="E8" s="49"/>
      <c r="F8" s="49"/>
      <c r="G8" s="26"/>
      <c r="H8" s="26"/>
      <c r="I8" s="26"/>
      <c r="J8" s="26"/>
      <c r="K8" s="26"/>
      <c r="L8" s="26"/>
      <c r="M8" s="3">
        <v>4</v>
      </c>
      <c r="N8" s="3">
        <f>M8*N$5</f>
        <v>20</v>
      </c>
      <c r="O8" s="3">
        <f>M8*O$5</f>
        <v>508</v>
      </c>
    </row>
    <row r="9" spans="1:15" ht="15.75" thickBot="1" x14ac:dyDescent="0.3">
      <c r="A9" s="27" t="s">
        <v>42</v>
      </c>
      <c r="B9" s="26"/>
      <c r="C9" s="26"/>
      <c r="D9" s="26"/>
      <c r="E9" s="26"/>
      <c r="F9" s="28">
        <v>300</v>
      </c>
      <c r="G9" s="28">
        <v>50</v>
      </c>
      <c r="H9" s="28">
        <v>30</v>
      </c>
      <c r="I9" s="26"/>
      <c r="J9" s="26"/>
      <c r="K9" s="26"/>
      <c r="L9" s="26"/>
      <c r="M9" s="3">
        <v>5</v>
      </c>
      <c r="N9" s="3">
        <f>M9*N$5</f>
        <v>25</v>
      </c>
      <c r="O9" s="3">
        <f>M9*O$5</f>
        <v>635</v>
      </c>
    </row>
    <row r="10" spans="1:15" ht="15.75" thickBot="1" x14ac:dyDescent="0.3">
      <c r="A10" s="53" t="s">
        <v>11</v>
      </c>
      <c r="B10" s="60" t="s">
        <v>12</v>
      </c>
      <c r="C10" s="54" t="s">
        <v>14</v>
      </c>
      <c r="D10" s="54" t="s">
        <v>15</v>
      </c>
      <c r="E10" s="55" t="s">
        <v>16</v>
      </c>
      <c r="F10" s="53" t="s">
        <v>20</v>
      </c>
      <c r="G10" s="54" t="s">
        <v>36</v>
      </c>
      <c r="H10" s="54" t="s">
        <v>34</v>
      </c>
      <c r="I10" s="54" t="s">
        <v>38</v>
      </c>
      <c r="J10" s="54" t="s">
        <v>39</v>
      </c>
      <c r="K10" s="55" t="s">
        <v>40</v>
      </c>
      <c r="L10" s="26"/>
      <c r="M10" s="50"/>
    </row>
    <row r="11" spans="1:15" x14ac:dyDescent="0.25">
      <c r="A11" s="61" t="s">
        <v>18</v>
      </c>
      <c r="B11" s="62">
        <f>B4/25.4</f>
        <v>18</v>
      </c>
      <c r="C11" s="63">
        <f>B11/B12*C12</f>
        <v>0.88278567925453655</v>
      </c>
      <c r="D11" s="63">
        <f>C11^2</f>
        <v>0.77931055549689343</v>
      </c>
      <c r="E11" s="64">
        <f>C11^3</f>
        <v>0.68796419808455522</v>
      </c>
      <c r="F11" s="56">
        <f t="shared" ref="F11:H14" si="4">F$2*$B11</f>
        <v>5400</v>
      </c>
      <c r="G11" s="57">
        <f t="shared" si="4"/>
        <v>900</v>
      </c>
      <c r="H11" s="57">
        <f t="shared" si="4"/>
        <v>540</v>
      </c>
      <c r="I11" s="57">
        <f>F11-F$12</f>
        <v>-717</v>
      </c>
      <c r="J11" s="57">
        <f t="shared" ref="J11:K14" si="5">G11-G$12</f>
        <v>-119.5</v>
      </c>
      <c r="K11" s="58">
        <f t="shared" si="5"/>
        <v>-71.700000000000045</v>
      </c>
      <c r="L11" s="26"/>
    </row>
    <row r="12" spans="1:15" x14ac:dyDescent="0.25">
      <c r="A12" s="29" t="s">
        <v>17</v>
      </c>
      <c r="B12" s="30">
        <v>20.39</v>
      </c>
      <c r="C12" s="31">
        <v>1</v>
      </c>
      <c r="D12" s="31">
        <f t="shared" ref="D12" si="6">C12^2</f>
        <v>1</v>
      </c>
      <c r="E12" s="32">
        <f t="shared" ref="E12" si="7">C12^3</f>
        <v>1</v>
      </c>
      <c r="F12" s="33">
        <f t="shared" si="4"/>
        <v>6117</v>
      </c>
      <c r="G12" s="34">
        <f t="shared" si="4"/>
        <v>1019.5</v>
      </c>
      <c r="H12" s="34">
        <f t="shared" si="4"/>
        <v>611.70000000000005</v>
      </c>
      <c r="I12" s="34">
        <f t="shared" ref="I12:I14" si="8">F12-F$12</f>
        <v>0</v>
      </c>
      <c r="J12" s="34">
        <f t="shared" si="5"/>
        <v>0</v>
      </c>
      <c r="K12" s="35">
        <f t="shared" si="5"/>
        <v>0</v>
      </c>
      <c r="L12" s="26"/>
    </row>
    <row r="13" spans="1:15" x14ac:dyDescent="0.25">
      <c r="A13" s="36" t="s">
        <v>19</v>
      </c>
      <c r="B13" s="37">
        <v>20.63</v>
      </c>
      <c r="C13" s="38">
        <f>B13/B12*C12</f>
        <v>1.0117704757233938</v>
      </c>
      <c r="D13" s="38">
        <f>C13^2</f>
        <v>1.0236794955455426</v>
      </c>
      <c r="E13" s="39">
        <f>C13^3</f>
        <v>1.0357286901963976</v>
      </c>
      <c r="F13" s="40">
        <f t="shared" si="4"/>
        <v>6189</v>
      </c>
      <c r="G13" s="37">
        <f t="shared" si="4"/>
        <v>1031.5</v>
      </c>
      <c r="H13" s="37">
        <f t="shared" si="4"/>
        <v>618.9</v>
      </c>
      <c r="I13" s="37">
        <f t="shared" si="8"/>
        <v>72</v>
      </c>
      <c r="J13" s="37">
        <f t="shared" si="5"/>
        <v>12</v>
      </c>
      <c r="K13" s="41">
        <f t="shared" si="5"/>
        <v>7.1999999999999318</v>
      </c>
      <c r="L13" s="26"/>
    </row>
    <row r="14" spans="1:15" ht="15.75" thickBot="1" x14ac:dyDescent="0.3">
      <c r="A14" s="42" t="s">
        <v>13</v>
      </c>
      <c r="B14" s="43">
        <v>25</v>
      </c>
      <c r="C14" s="44">
        <f>B14/B12*C12</f>
        <v>1.2260912211868562</v>
      </c>
      <c r="D14" s="44">
        <f>C14^2</f>
        <v>1.5032996826714764</v>
      </c>
      <c r="E14" s="45">
        <f>C14^3</f>
        <v>1.8431825437364839</v>
      </c>
      <c r="F14" s="46">
        <f t="shared" si="4"/>
        <v>7500</v>
      </c>
      <c r="G14" s="43">
        <f t="shared" si="4"/>
        <v>1250</v>
      </c>
      <c r="H14" s="43">
        <f t="shared" si="4"/>
        <v>750</v>
      </c>
      <c r="I14" s="43">
        <f t="shared" si="8"/>
        <v>1383</v>
      </c>
      <c r="J14" s="43">
        <f t="shared" si="5"/>
        <v>230.5</v>
      </c>
      <c r="K14" s="47">
        <f t="shared" si="5"/>
        <v>138.29999999999995</v>
      </c>
      <c r="L14" s="26"/>
    </row>
    <row r="15" spans="1:15" x14ac:dyDescent="0.25">
      <c r="A15" s="27"/>
      <c r="B15" s="26"/>
      <c r="C15" s="49"/>
      <c r="D15" s="49"/>
      <c r="E15" s="49"/>
      <c r="F15" s="26"/>
      <c r="G15" s="26"/>
      <c r="H15" s="26"/>
      <c r="I15" s="26"/>
      <c r="J15" s="26"/>
      <c r="K15" s="26"/>
      <c r="L15" s="26"/>
    </row>
    <row r="16" spans="1:15" ht="15.75" thickBot="1" x14ac:dyDescent="0.3">
      <c r="A16" s="27" t="s">
        <v>45</v>
      </c>
      <c r="B16" s="26"/>
      <c r="C16" s="26"/>
      <c r="D16" s="26"/>
      <c r="E16" s="26"/>
      <c r="F16" s="28">
        <v>300</v>
      </c>
      <c r="G16" s="28">
        <v>50</v>
      </c>
      <c r="H16" s="28">
        <v>30</v>
      </c>
      <c r="I16" s="26"/>
      <c r="J16" s="26"/>
      <c r="K16" s="26"/>
      <c r="L16" s="26"/>
    </row>
    <row r="17" spans="1:17" ht="15.75" thickBot="1" x14ac:dyDescent="0.3">
      <c r="A17" s="53" t="s">
        <v>11</v>
      </c>
      <c r="B17" s="60" t="s">
        <v>6</v>
      </c>
      <c r="C17" s="54" t="s">
        <v>14</v>
      </c>
      <c r="D17" s="54" t="s">
        <v>15</v>
      </c>
      <c r="E17" s="55" t="s">
        <v>16</v>
      </c>
      <c r="F17" s="53" t="s">
        <v>20</v>
      </c>
      <c r="G17" s="54" t="s">
        <v>36</v>
      </c>
      <c r="H17" s="54" t="s">
        <v>34</v>
      </c>
      <c r="I17" s="54" t="s">
        <v>38</v>
      </c>
      <c r="J17" s="54" t="s">
        <v>39</v>
      </c>
      <c r="K17" s="55" t="s">
        <v>40</v>
      </c>
      <c r="L17" s="26"/>
    </row>
    <row r="18" spans="1:17" x14ac:dyDescent="0.25">
      <c r="A18" s="61" t="s">
        <v>18</v>
      </c>
      <c r="B18" s="62">
        <f>B11/12</f>
        <v>1.5</v>
      </c>
      <c r="C18" s="63">
        <f>B18/B19*C19</f>
        <v>0.88278567925453655</v>
      </c>
      <c r="D18" s="63">
        <f>C18^2</f>
        <v>0.77931055549689343</v>
      </c>
      <c r="E18" s="64">
        <f>C18^3</f>
        <v>0.68796419808455522</v>
      </c>
      <c r="F18" s="56">
        <f>F11/12</f>
        <v>450</v>
      </c>
      <c r="G18" s="57">
        <f t="shared" ref="G18:K18" si="9">G11/12</f>
        <v>75</v>
      </c>
      <c r="H18" s="57">
        <f t="shared" si="9"/>
        <v>45</v>
      </c>
      <c r="I18" s="57">
        <f t="shared" si="9"/>
        <v>-59.75</v>
      </c>
      <c r="J18" s="57">
        <f t="shared" si="9"/>
        <v>-9.9583333333333339</v>
      </c>
      <c r="K18" s="58">
        <f t="shared" si="9"/>
        <v>-5.9750000000000041</v>
      </c>
      <c r="L18" s="26"/>
    </row>
    <row r="19" spans="1:17" x14ac:dyDescent="0.25">
      <c r="A19" s="29" t="s">
        <v>17</v>
      </c>
      <c r="B19" s="30">
        <f>B12/12</f>
        <v>1.6991666666666667</v>
      </c>
      <c r="C19" s="31">
        <v>1</v>
      </c>
      <c r="D19" s="31">
        <f t="shared" ref="D19" si="10">C19^2</f>
        <v>1</v>
      </c>
      <c r="E19" s="32">
        <f t="shared" ref="E19" si="11">C19^3</f>
        <v>1</v>
      </c>
      <c r="F19" s="51">
        <f t="shared" ref="F19:K21" si="12">F12/12</f>
        <v>509.75</v>
      </c>
      <c r="G19" s="52">
        <f t="shared" si="12"/>
        <v>84.958333333333329</v>
      </c>
      <c r="H19" s="52">
        <f t="shared" si="12"/>
        <v>50.975000000000001</v>
      </c>
      <c r="I19" s="52">
        <f t="shared" si="12"/>
        <v>0</v>
      </c>
      <c r="J19" s="52">
        <f t="shared" si="12"/>
        <v>0</v>
      </c>
      <c r="K19" s="59">
        <f t="shared" si="12"/>
        <v>0</v>
      </c>
      <c r="L19" s="26"/>
    </row>
    <row r="20" spans="1:17" x14ac:dyDescent="0.25">
      <c r="A20" s="36" t="s">
        <v>19</v>
      </c>
      <c r="B20" s="37">
        <f>B13/12</f>
        <v>1.7191666666666665</v>
      </c>
      <c r="C20" s="38">
        <f>B20/B19*C19</f>
        <v>1.0117704757233936</v>
      </c>
      <c r="D20" s="38">
        <f>C20^2</f>
        <v>1.0236794955455422</v>
      </c>
      <c r="E20" s="39">
        <f>C20^3</f>
        <v>1.0357286901963969</v>
      </c>
      <c r="F20" s="40">
        <f t="shared" si="12"/>
        <v>515.75</v>
      </c>
      <c r="G20" s="37">
        <f t="shared" si="12"/>
        <v>85.958333333333329</v>
      </c>
      <c r="H20" s="37">
        <f t="shared" si="12"/>
        <v>51.574999999999996</v>
      </c>
      <c r="I20" s="37">
        <f t="shared" si="12"/>
        <v>6</v>
      </c>
      <c r="J20" s="37">
        <f t="shared" si="12"/>
        <v>1</v>
      </c>
      <c r="K20" s="41">
        <f t="shared" si="12"/>
        <v>0.59999999999999432</v>
      </c>
      <c r="L20" s="26"/>
    </row>
    <row r="21" spans="1:17" ht="15.75" thickBot="1" x14ac:dyDescent="0.3">
      <c r="A21" s="42" t="s">
        <v>13</v>
      </c>
      <c r="B21" s="43">
        <f>B14/12</f>
        <v>2.0833333333333335</v>
      </c>
      <c r="C21" s="44">
        <f>B21/B19*C19</f>
        <v>1.2260912211868564</v>
      </c>
      <c r="D21" s="44">
        <f>C21^2</f>
        <v>1.5032996826714768</v>
      </c>
      <c r="E21" s="45">
        <f>C21^3</f>
        <v>1.8431825437364848</v>
      </c>
      <c r="F21" s="46">
        <f t="shared" si="12"/>
        <v>625</v>
      </c>
      <c r="G21" s="43">
        <f t="shared" si="12"/>
        <v>104.16666666666667</v>
      </c>
      <c r="H21" s="43">
        <f t="shared" si="12"/>
        <v>62.5</v>
      </c>
      <c r="I21" s="43">
        <f t="shared" si="12"/>
        <v>115.25</v>
      </c>
      <c r="J21" s="43">
        <f t="shared" si="12"/>
        <v>19.208333333333332</v>
      </c>
      <c r="K21" s="47">
        <f t="shared" si="12"/>
        <v>11.524999999999997</v>
      </c>
      <c r="L21" s="26"/>
    </row>
    <row r="22" spans="1:17" x14ac:dyDescent="0.25">
      <c r="A22" s="27"/>
      <c r="B22" s="26"/>
      <c r="C22" s="49"/>
      <c r="D22" s="49"/>
      <c r="E22" s="49"/>
      <c r="F22" s="26"/>
      <c r="G22" s="26"/>
      <c r="H22" s="26"/>
      <c r="I22" s="26"/>
      <c r="J22" s="26"/>
      <c r="K22" s="26"/>
      <c r="L22" s="26"/>
    </row>
    <row r="23" spans="1:17" x14ac:dyDescent="0.25">
      <c r="A23" s="16" t="s">
        <v>64</v>
      </c>
      <c r="B23" s="16"/>
      <c r="C23" s="16"/>
      <c r="D23" s="16"/>
      <c r="E23" s="16"/>
      <c r="F23" s="16"/>
      <c r="G23" s="16"/>
    </row>
    <row r="24" spans="1:17" x14ac:dyDescent="0.25">
      <c r="A24" s="21" t="s">
        <v>27</v>
      </c>
      <c r="B24" s="22">
        <v>524</v>
      </c>
      <c r="C24" s="23" t="s">
        <v>21</v>
      </c>
      <c r="D24" s="23" t="s">
        <v>12</v>
      </c>
      <c r="E24" s="23" t="s">
        <v>0</v>
      </c>
      <c r="F24" s="23" t="s">
        <v>6</v>
      </c>
      <c r="G24" s="23" t="s">
        <v>2</v>
      </c>
      <c r="H24" s="23" t="s">
        <v>60</v>
      </c>
      <c r="I24" s="23" t="s">
        <v>59</v>
      </c>
      <c r="J24" s="19"/>
      <c r="M24" s="16"/>
    </row>
    <row r="25" spans="1:17" x14ac:dyDescent="0.25">
      <c r="A25" s="2" t="s">
        <v>20</v>
      </c>
      <c r="B25" s="3"/>
      <c r="C25" s="9">
        <v>300</v>
      </c>
      <c r="D25" s="3">
        <f>C25*B24</f>
        <v>157200</v>
      </c>
      <c r="E25" s="3">
        <f>D25/1000</f>
        <v>157.19999999999999</v>
      </c>
      <c r="F25" s="3">
        <f>E25/0.3048</f>
        <v>515.74803149606294</v>
      </c>
      <c r="G25" s="3">
        <f>F25*12</f>
        <v>6188.9763779527548</v>
      </c>
      <c r="H25" s="3">
        <f>C25/$C$28</f>
        <v>85.958005249343827</v>
      </c>
      <c r="I25" s="67">
        <f t="shared" ref="I25:I31" si="13">C25/$C$25</f>
        <v>1</v>
      </c>
      <c r="J25" s="19"/>
      <c r="K25" s="19"/>
      <c r="M25" s="19"/>
      <c r="Q25" s="18"/>
    </row>
    <row r="26" spans="1:17" x14ac:dyDescent="0.25">
      <c r="A26" s="3" t="s">
        <v>31</v>
      </c>
      <c r="B26" s="3"/>
      <c r="C26" s="3">
        <v>0.8</v>
      </c>
      <c r="D26" s="3">
        <f>C26*B24</f>
        <v>419.20000000000005</v>
      </c>
      <c r="E26" s="3">
        <f>D26/1000</f>
        <v>0.41920000000000007</v>
      </c>
      <c r="F26" s="3">
        <f>E26/0.3048</f>
        <v>1.3753280839895015</v>
      </c>
      <c r="G26" s="3">
        <f>F26*12</f>
        <v>16.503937007874018</v>
      </c>
      <c r="H26" s="3">
        <f t="shared" ref="H26:H41" si="14">C26/$C$28</f>
        <v>0.22922134733158353</v>
      </c>
      <c r="I26" s="67">
        <f t="shared" si="13"/>
        <v>2.666666666666667E-3</v>
      </c>
      <c r="J26" s="20"/>
      <c r="K26" s="19"/>
      <c r="M26" s="73"/>
    </row>
    <row r="27" spans="1:17" x14ac:dyDescent="0.25">
      <c r="A27" s="3" t="s">
        <v>32</v>
      </c>
      <c r="B27" s="3">
        <v>2</v>
      </c>
      <c r="C27" s="3">
        <f>D27/$B$24</f>
        <v>1.7450381679389315</v>
      </c>
      <c r="D27" s="3">
        <f>E27*1000</f>
        <v>914.40000000000009</v>
      </c>
      <c r="E27" s="3">
        <f>F27*0.3048</f>
        <v>0.9144000000000001</v>
      </c>
      <c r="F27" s="2">
        <f>F28/$B$27</f>
        <v>3</v>
      </c>
      <c r="G27" s="3">
        <f>G28/$B$27</f>
        <v>36</v>
      </c>
      <c r="H27" s="3">
        <f t="shared" si="14"/>
        <v>0.5</v>
      </c>
      <c r="I27" s="67">
        <f t="shared" si="13"/>
        <v>5.8167938931297713E-3</v>
      </c>
      <c r="J27" s="20"/>
      <c r="K27" s="19"/>
      <c r="M27" s="19"/>
    </row>
    <row r="28" spans="1:17" x14ac:dyDescent="0.25">
      <c r="A28" s="2" t="s">
        <v>61</v>
      </c>
      <c r="B28" s="9"/>
      <c r="C28" s="3">
        <f>D28/$B$24</f>
        <v>3.490076335877863</v>
      </c>
      <c r="D28" s="3">
        <f t="shared" ref="D28" si="15">E28*1000</f>
        <v>1828.8000000000002</v>
      </c>
      <c r="E28" s="3">
        <f t="shared" ref="E28:E32" si="16">F28*0.3048</f>
        <v>1.8288000000000002</v>
      </c>
      <c r="F28" s="8">
        <v>6</v>
      </c>
      <c r="G28" s="3">
        <f>F28*12</f>
        <v>72</v>
      </c>
      <c r="H28" s="3">
        <f t="shared" si="14"/>
        <v>1</v>
      </c>
      <c r="I28" s="70">
        <f t="shared" si="13"/>
        <v>1.1633587786259543E-2</v>
      </c>
      <c r="J28" s="20"/>
      <c r="K28" s="19"/>
      <c r="M28" s="19"/>
    </row>
    <row r="29" spans="1:17" x14ac:dyDescent="0.25">
      <c r="A29" s="3" t="s">
        <v>26</v>
      </c>
      <c r="B29" s="3">
        <v>3</v>
      </c>
      <c r="C29" s="3">
        <f t="shared" ref="C29:C32" si="17">D29/$B$24</f>
        <v>10.47022900763359</v>
      </c>
      <c r="D29" s="3">
        <f t="shared" ref="D29:D30" si="18">E29*1000</f>
        <v>5486.4000000000005</v>
      </c>
      <c r="E29" s="3">
        <f t="shared" si="16"/>
        <v>5.4864000000000006</v>
      </c>
      <c r="F29" s="2">
        <f>F28*$B$29</f>
        <v>18</v>
      </c>
      <c r="G29" s="3">
        <f>G28*$B$29</f>
        <v>216</v>
      </c>
      <c r="H29" s="3">
        <f t="shared" si="14"/>
        <v>3</v>
      </c>
      <c r="I29" s="67">
        <f t="shared" si="13"/>
        <v>3.4900763358778633E-2</v>
      </c>
      <c r="J29" s="20"/>
      <c r="K29" s="19"/>
      <c r="L29" s="19"/>
      <c r="M29" s="19"/>
    </row>
    <row r="30" spans="1:17" x14ac:dyDescent="0.25">
      <c r="A30" s="3" t="s">
        <v>25</v>
      </c>
      <c r="B30" s="3">
        <v>4</v>
      </c>
      <c r="C30" s="3">
        <f t="shared" si="17"/>
        <v>41.880916030534358</v>
      </c>
      <c r="D30" s="3">
        <f t="shared" si="18"/>
        <v>21945.600000000002</v>
      </c>
      <c r="E30" s="3">
        <f t="shared" si="16"/>
        <v>21.945600000000002</v>
      </c>
      <c r="F30" s="2">
        <f>F29*$B$30</f>
        <v>72</v>
      </c>
      <c r="G30" s="3">
        <f>G29*$B$30</f>
        <v>864</v>
      </c>
      <c r="H30" s="3">
        <f t="shared" si="14"/>
        <v>12</v>
      </c>
      <c r="I30" s="67">
        <f t="shared" si="13"/>
        <v>0.13960305343511453</v>
      </c>
      <c r="J30" s="20"/>
      <c r="K30" s="19"/>
      <c r="L30" s="19"/>
      <c r="M30" s="19"/>
    </row>
    <row r="31" spans="1:17" ht="3.75" customHeight="1" x14ac:dyDescent="0.25">
      <c r="A31" s="3"/>
      <c r="B31" s="3"/>
      <c r="C31" s="3"/>
      <c r="D31" s="3"/>
      <c r="E31" s="3"/>
      <c r="F31" s="3"/>
      <c r="G31" s="3"/>
      <c r="H31" s="3">
        <f t="shared" si="14"/>
        <v>0</v>
      </c>
      <c r="I31" s="67">
        <f t="shared" si="13"/>
        <v>0</v>
      </c>
      <c r="J31" s="20"/>
      <c r="K31" s="19"/>
      <c r="L31" s="19"/>
      <c r="M31" s="19"/>
    </row>
    <row r="32" spans="1:17" x14ac:dyDescent="0.25">
      <c r="A32" s="2" t="s">
        <v>46</v>
      </c>
      <c r="B32" s="3">
        <v>5</v>
      </c>
      <c r="C32" s="3">
        <f t="shared" si="17"/>
        <v>209.40458015267177</v>
      </c>
      <c r="D32" s="3">
        <f t="shared" ref="D32" si="19">E32*1000</f>
        <v>109728.00000000001</v>
      </c>
      <c r="E32" s="3">
        <f t="shared" si="16"/>
        <v>109.72800000000001</v>
      </c>
      <c r="F32" s="3">
        <f t="shared" ref="F32:G32" si="20">$B$32*F30</f>
        <v>360</v>
      </c>
      <c r="G32" s="3">
        <f t="shared" si="20"/>
        <v>4320</v>
      </c>
      <c r="H32" s="3">
        <f t="shared" si="14"/>
        <v>59.999999999999993</v>
      </c>
      <c r="I32" s="67">
        <f>C32/$C$25</f>
        <v>0.69801526717557261</v>
      </c>
      <c r="K32">
        <f>F32*0.3048</f>
        <v>109.72800000000001</v>
      </c>
    </row>
    <row r="33" spans="1:9" x14ac:dyDescent="0.25">
      <c r="A33" s="2" t="s">
        <v>48</v>
      </c>
      <c r="B33" s="3"/>
      <c r="C33" s="3">
        <v>0.5</v>
      </c>
      <c r="D33" s="3">
        <f>C33*$B$24</f>
        <v>262</v>
      </c>
      <c r="E33" s="3">
        <f>D33/1000</f>
        <v>0.26200000000000001</v>
      </c>
      <c r="F33" s="3">
        <f>E33/0.3048</f>
        <v>0.85958005249343827</v>
      </c>
      <c r="G33" s="3">
        <f>F33*12</f>
        <v>10.314960629921259</v>
      </c>
      <c r="H33" s="3">
        <f t="shared" si="14"/>
        <v>0.1432633420822397</v>
      </c>
      <c r="I33" s="67">
        <f>C33/$C$25</f>
        <v>1.6666666666666668E-3</v>
      </c>
    </row>
    <row r="34" spans="1:9" x14ac:dyDescent="0.25">
      <c r="A34" s="2" t="s">
        <v>49</v>
      </c>
      <c r="B34" s="3"/>
      <c r="C34" s="3">
        <f>((300-C32)-C33-C37)/2</f>
        <v>42.797709923664115</v>
      </c>
      <c r="D34" s="3">
        <f t="shared" ref="D34:D39" si="21">C34*$B$24</f>
        <v>22425.999999999996</v>
      </c>
      <c r="E34" s="3">
        <f t="shared" ref="E34:E39" si="22">D34/1000</f>
        <v>22.425999999999995</v>
      </c>
      <c r="F34" s="3">
        <f t="shared" ref="F34:F39" si="23">E34/0.3048</f>
        <v>73.576115485564287</v>
      </c>
      <c r="G34" s="3">
        <f t="shared" ref="G34:G39" si="24">F34*12</f>
        <v>882.91338582677145</v>
      </c>
      <c r="H34" s="3">
        <f t="shared" si="14"/>
        <v>12.262685914260715</v>
      </c>
      <c r="I34" s="67">
        <f>C34/$C$25</f>
        <v>0.14265903307888039</v>
      </c>
    </row>
    <row r="35" spans="1:9" x14ac:dyDescent="0.25">
      <c r="A35" s="2" t="s">
        <v>50</v>
      </c>
      <c r="B35" s="3"/>
      <c r="C35" s="3">
        <f>C33+C34</f>
        <v>43.297709923664115</v>
      </c>
      <c r="D35" s="3">
        <f t="shared" si="21"/>
        <v>22687.999999999996</v>
      </c>
      <c r="E35" s="3">
        <f t="shared" si="22"/>
        <v>22.687999999999995</v>
      </c>
      <c r="F35" s="3">
        <f t="shared" si="23"/>
        <v>74.435695538057729</v>
      </c>
      <c r="G35" s="3">
        <f t="shared" si="24"/>
        <v>893.22834645669275</v>
      </c>
      <c r="H35" s="3">
        <f t="shared" si="14"/>
        <v>12.405949256342954</v>
      </c>
      <c r="I35" s="67">
        <f>C35/$C$25</f>
        <v>0.14432569974554704</v>
      </c>
    </row>
    <row r="36" spans="1:9" x14ac:dyDescent="0.25">
      <c r="A36" s="2" t="s">
        <v>58</v>
      </c>
      <c r="B36" s="3">
        <f>D35/D28</f>
        <v>12.405949256342954</v>
      </c>
      <c r="C36" s="3"/>
      <c r="D36" s="3"/>
      <c r="E36" s="3"/>
      <c r="F36" s="3"/>
      <c r="G36" s="3"/>
      <c r="H36" s="3">
        <f t="shared" si="14"/>
        <v>0</v>
      </c>
      <c r="I36" s="67"/>
    </row>
    <row r="37" spans="1:9" x14ac:dyDescent="0.25">
      <c r="A37" s="2" t="s">
        <v>51</v>
      </c>
      <c r="B37" s="3"/>
      <c r="C37" s="3">
        <v>4.5</v>
      </c>
      <c r="D37" s="3">
        <f t="shared" si="21"/>
        <v>2358</v>
      </c>
      <c r="E37" s="3">
        <f t="shared" si="22"/>
        <v>2.3580000000000001</v>
      </c>
      <c r="F37" s="3">
        <f t="shared" si="23"/>
        <v>7.7362204724409445</v>
      </c>
      <c r="G37" s="3">
        <f t="shared" si="24"/>
        <v>92.834645669291334</v>
      </c>
      <c r="H37" s="3">
        <f t="shared" si="14"/>
        <v>1.2893700787401574</v>
      </c>
      <c r="I37" s="67">
        <f>C37/$C$25</f>
        <v>1.4999999999999999E-2</v>
      </c>
    </row>
    <row r="38" spans="1:9" x14ac:dyDescent="0.25">
      <c r="A38" s="2" t="s">
        <v>52</v>
      </c>
      <c r="B38" s="3"/>
      <c r="C38" s="3">
        <f>C34</f>
        <v>42.797709923664115</v>
      </c>
      <c r="D38" s="3">
        <f t="shared" si="21"/>
        <v>22425.999999999996</v>
      </c>
      <c r="E38" s="3">
        <f t="shared" si="22"/>
        <v>22.425999999999995</v>
      </c>
      <c r="F38" s="3">
        <f t="shared" si="23"/>
        <v>73.576115485564287</v>
      </c>
      <c r="G38" s="3">
        <f t="shared" si="24"/>
        <v>882.91338582677145</v>
      </c>
      <c r="H38" s="3">
        <f t="shared" si="14"/>
        <v>12.262685914260715</v>
      </c>
      <c r="I38" s="67">
        <f>C38/$C$25</f>
        <v>0.14265903307888039</v>
      </c>
    </row>
    <row r="39" spans="1:9" x14ac:dyDescent="0.25">
      <c r="A39" s="2" t="s">
        <v>53</v>
      </c>
      <c r="B39" s="3"/>
      <c r="C39" s="3">
        <f>C38+C37</f>
        <v>47.297709923664115</v>
      </c>
      <c r="D39" s="3">
        <f t="shared" si="21"/>
        <v>24783.999999999996</v>
      </c>
      <c r="E39" s="3">
        <f t="shared" si="22"/>
        <v>24.783999999999995</v>
      </c>
      <c r="F39" s="3">
        <f t="shared" si="23"/>
        <v>81.312335958005235</v>
      </c>
      <c r="G39" s="3">
        <f t="shared" si="24"/>
        <v>975.74803149606282</v>
      </c>
      <c r="H39" s="3">
        <f t="shared" si="14"/>
        <v>13.552055993000872</v>
      </c>
      <c r="I39" s="67">
        <f>C39/$C$25</f>
        <v>0.15765903307888038</v>
      </c>
    </row>
    <row r="40" spans="1:9" x14ac:dyDescent="0.25">
      <c r="A40" s="2" t="s">
        <v>58</v>
      </c>
      <c r="B40" s="3">
        <f>D39/D28</f>
        <v>13.552055993000872</v>
      </c>
      <c r="C40" s="3"/>
      <c r="D40" s="3"/>
      <c r="E40" s="3"/>
      <c r="F40" s="3"/>
      <c r="G40" s="3"/>
      <c r="H40" s="3"/>
      <c r="I40" s="67"/>
    </row>
    <row r="41" spans="1:9" x14ac:dyDescent="0.25">
      <c r="A41" s="2" t="s">
        <v>47</v>
      </c>
      <c r="B41" s="3"/>
      <c r="C41" s="3">
        <f>C39+C35+C32</f>
        <v>300</v>
      </c>
      <c r="D41" s="3"/>
      <c r="E41" s="3"/>
      <c r="F41" s="3"/>
      <c r="G41" s="3"/>
      <c r="H41" s="3">
        <f t="shared" si="14"/>
        <v>85.958005249343827</v>
      </c>
      <c r="I41" s="66">
        <f>I39+I35+I32</f>
        <v>1</v>
      </c>
    </row>
    <row r="42" spans="1:9" ht="4.5" customHeight="1" x14ac:dyDescent="0.25"/>
    <row r="43" spans="1:9" x14ac:dyDescent="0.25">
      <c r="A43" s="16" t="s">
        <v>62</v>
      </c>
      <c r="I43" s="65"/>
    </row>
    <row r="44" spans="1:9" x14ac:dyDescent="0.25">
      <c r="A44" s="21" t="s">
        <v>27</v>
      </c>
      <c r="B44" s="22">
        <v>524</v>
      </c>
      <c r="C44" s="23" t="s">
        <v>21</v>
      </c>
      <c r="D44" s="23" t="s">
        <v>12</v>
      </c>
      <c r="E44" s="23" t="s">
        <v>0</v>
      </c>
      <c r="F44" s="23" t="s">
        <v>6</v>
      </c>
      <c r="G44" s="23" t="s">
        <v>2</v>
      </c>
      <c r="H44" s="23"/>
      <c r="I44" s="23" t="s">
        <v>63</v>
      </c>
    </row>
    <row r="45" spans="1:9" x14ac:dyDescent="0.25">
      <c r="A45" s="2" t="s">
        <v>34</v>
      </c>
      <c r="B45" s="3"/>
      <c r="C45" s="8">
        <v>30</v>
      </c>
      <c r="D45" s="3">
        <f>C45*$B$24</f>
        <v>15720</v>
      </c>
      <c r="E45" s="3">
        <f>D45/1000</f>
        <v>15.72</v>
      </c>
      <c r="F45" s="3">
        <f>E45/0.3048</f>
        <v>51.574803149606296</v>
      </c>
      <c r="G45" s="3">
        <f t="shared" ref="G45:G50" si="25">F45*12</f>
        <v>618.89763779527561</v>
      </c>
      <c r="H45" s="3"/>
      <c r="I45" s="68">
        <f>C45/$C$45</f>
        <v>1</v>
      </c>
    </row>
    <row r="46" spans="1:9" x14ac:dyDescent="0.25">
      <c r="A46" s="2" t="s">
        <v>57</v>
      </c>
      <c r="B46" s="3"/>
      <c r="C46" s="2">
        <v>3</v>
      </c>
      <c r="D46" s="3">
        <f>C46*$B$24</f>
        <v>1572</v>
      </c>
      <c r="E46" s="3">
        <f>D46/1000</f>
        <v>1.5720000000000001</v>
      </c>
      <c r="F46" s="3">
        <f>E46/0.3048</f>
        <v>5.1574803149606296</v>
      </c>
      <c r="G46" s="3">
        <f t="shared" si="25"/>
        <v>61.889763779527556</v>
      </c>
      <c r="H46" s="3"/>
      <c r="I46" s="68">
        <f t="shared" ref="I46:I48" si="26">C46/$C$45</f>
        <v>0.1</v>
      </c>
    </row>
    <row r="47" spans="1:9" x14ac:dyDescent="0.25">
      <c r="A47" s="2" t="s">
        <v>54</v>
      </c>
      <c r="B47" s="3"/>
      <c r="C47" s="8">
        <v>15</v>
      </c>
      <c r="D47" s="3">
        <f>C47*$B$24</f>
        <v>7860</v>
      </c>
      <c r="E47" s="3">
        <f>D47/1000</f>
        <v>7.86</v>
      </c>
      <c r="F47" s="3">
        <f>E47/0.3048</f>
        <v>25.787401574803148</v>
      </c>
      <c r="G47" s="3">
        <f t="shared" si="25"/>
        <v>309.44881889763781</v>
      </c>
      <c r="H47" s="3"/>
      <c r="I47" s="68">
        <f t="shared" si="26"/>
        <v>0.5</v>
      </c>
    </row>
    <row r="48" spans="1:9" x14ac:dyDescent="0.25">
      <c r="A48" s="2" t="s">
        <v>55</v>
      </c>
      <c r="B48" s="3"/>
      <c r="C48" s="2">
        <f>C47-C46</f>
        <v>12</v>
      </c>
      <c r="D48" s="3">
        <f>C48*$B$24</f>
        <v>6288</v>
      </c>
      <c r="E48" s="3">
        <f>D48/1000</f>
        <v>6.2880000000000003</v>
      </c>
      <c r="F48" s="3">
        <f>E48/0.3048</f>
        <v>20.629921259842519</v>
      </c>
      <c r="G48" s="3">
        <f t="shared" si="25"/>
        <v>247.55905511811022</v>
      </c>
      <c r="H48" s="3"/>
      <c r="I48" s="68">
        <f t="shared" si="26"/>
        <v>0.4</v>
      </c>
    </row>
    <row r="49" spans="1:9" x14ac:dyDescent="0.25">
      <c r="A49" s="2" t="s">
        <v>56</v>
      </c>
      <c r="B49" s="3"/>
      <c r="C49" s="2">
        <f>(C46+1)/2</f>
        <v>2</v>
      </c>
      <c r="D49" s="3">
        <f>C49*$B$24</f>
        <v>1048</v>
      </c>
      <c r="E49" s="3">
        <f>D49/1000</f>
        <v>1.048</v>
      </c>
      <c r="F49" s="3">
        <f>E49/0.3048</f>
        <v>3.4383202099737531</v>
      </c>
      <c r="G49" s="3">
        <f t="shared" si="25"/>
        <v>41.259842519685037</v>
      </c>
      <c r="H49" s="3"/>
      <c r="I49" s="68">
        <f>C49/$C$45</f>
        <v>6.6666666666666666E-2</v>
      </c>
    </row>
    <row r="50" spans="1:9" x14ac:dyDescent="0.25">
      <c r="A50" s="2" t="s">
        <v>78</v>
      </c>
      <c r="B50" s="3"/>
      <c r="C50" s="3">
        <f t="shared" ref="C50" si="27">D50/$B$24</f>
        <v>1.7450381679389315</v>
      </c>
      <c r="D50" s="3">
        <f t="shared" ref="D50" si="28">E50*1000</f>
        <v>914.40000000000009</v>
      </c>
      <c r="E50" s="3">
        <f t="shared" ref="E50" si="29">F50*0.3048</f>
        <v>0.9144000000000001</v>
      </c>
      <c r="F50" s="2">
        <v>3</v>
      </c>
      <c r="G50" s="3">
        <f t="shared" si="25"/>
        <v>36</v>
      </c>
      <c r="H50" s="3"/>
      <c r="I50" s="68"/>
    </row>
    <row r="51" spans="1:9" x14ac:dyDescent="0.25">
      <c r="A51" s="2" t="s">
        <v>79</v>
      </c>
      <c r="B51" s="3"/>
      <c r="C51" s="2"/>
      <c r="D51" s="3"/>
      <c r="E51" s="3"/>
      <c r="F51" s="3"/>
      <c r="G51" s="3"/>
      <c r="H51" s="3"/>
      <c r="I51" s="68"/>
    </row>
    <row r="52" spans="1:9" x14ac:dyDescent="0.25">
      <c r="A52" s="2" t="s">
        <v>80</v>
      </c>
      <c r="B52" s="3"/>
      <c r="C52" s="2"/>
      <c r="D52" s="3"/>
      <c r="E52" s="3"/>
      <c r="F52" s="3"/>
      <c r="G52" s="3"/>
      <c r="H52" s="3"/>
      <c r="I52" s="68"/>
    </row>
    <row r="54" spans="1:9" x14ac:dyDescent="0.25">
      <c r="A54" s="16" t="s">
        <v>67</v>
      </c>
      <c r="I54" s="65"/>
    </row>
    <row r="55" spans="1:9" x14ac:dyDescent="0.25">
      <c r="A55" s="21" t="s">
        <v>27</v>
      </c>
      <c r="B55" s="22">
        <v>524</v>
      </c>
      <c r="C55" s="23" t="s">
        <v>21</v>
      </c>
      <c r="D55" s="23" t="s">
        <v>12</v>
      </c>
      <c r="E55" s="23" t="s">
        <v>0</v>
      </c>
      <c r="F55" s="23" t="s">
        <v>6</v>
      </c>
      <c r="G55" s="23" t="s">
        <v>2</v>
      </c>
      <c r="H55" s="23"/>
      <c r="I55" s="23" t="s">
        <v>74</v>
      </c>
    </row>
    <row r="56" spans="1:9" x14ac:dyDescent="0.25">
      <c r="A56" s="2" t="s">
        <v>36</v>
      </c>
      <c r="B56" s="3"/>
      <c r="C56" s="8">
        <v>50</v>
      </c>
      <c r="D56" s="3">
        <f t="shared" ref="D56:D61" si="30">C56*$B$24</f>
        <v>26200</v>
      </c>
      <c r="E56" s="3">
        <f t="shared" ref="E56:E62" si="31">D56/1000</f>
        <v>26.2</v>
      </c>
      <c r="F56" s="3">
        <f t="shared" ref="F56:F62" si="32">E56/0.3048</f>
        <v>85.958005249343827</v>
      </c>
      <c r="G56" s="3">
        <f t="shared" ref="G56:G62" si="33">F56*12</f>
        <v>1031.4960629921259</v>
      </c>
      <c r="H56" s="3"/>
      <c r="I56" s="68">
        <f>C56/$C$56</f>
        <v>1</v>
      </c>
    </row>
    <row r="57" spans="1:9" x14ac:dyDescent="0.25">
      <c r="A57" s="2" t="s">
        <v>72</v>
      </c>
      <c r="B57" s="3"/>
      <c r="C57" s="2">
        <v>4</v>
      </c>
      <c r="D57" s="3">
        <f t="shared" si="30"/>
        <v>2096</v>
      </c>
      <c r="E57" s="3">
        <f t="shared" si="31"/>
        <v>2.0960000000000001</v>
      </c>
      <c r="F57" s="3">
        <f t="shared" si="32"/>
        <v>6.8766404199475062</v>
      </c>
      <c r="G57" s="3">
        <f t="shared" si="33"/>
        <v>82.519685039370074</v>
      </c>
      <c r="H57" s="3"/>
      <c r="I57" s="68">
        <f t="shared" ref="I57" si="34">C57/$C$56</f>
        <v>0.08</v>
      </c>
    </row>
    <row r="58" spans="1:9" x14ac:dyDescent="0.25">
      <c r="A58" s="2" t="s">
        <v>73</v>
      </c>
      <c r="B58" s="3"/>
      <c r="C58" s="2">
        <v>5</v>
      </c>
      <c r="D58" s="3">
        <f t="shared" si="30"/>
        <v>2620</v>
      </c>
      <c r="E58" s="3">
        <f t="shared" si="31"/>
        <v>2.62</v>
      </c>
      <c r="F58" s="3">
        <f t="shared" si="32"/>
        <v>8.5958005249343827</v>
      </c>
      <c r="G58" s="3">
        <f t="shared" si="33"/>
        <v>103.14960629921259</v>
      </c>
      <c r="H58" s="3"/>
      <c r="I58" s="68">
        <f t="shared" ref="I58" si="35">C58/$C$56</f>
        <v>0.1</v>
      </c>
    </row>
    <row r="59" spans="1:9" x14ac:dyDescent="0.25">
      <c r="A59" s="2" t="s">
        <v>65</v>
      </c>
      <c r="B59" s="3"/>
      <c r="C59" s="2">
        <v>3</v>
      </c>
      <c r="D59" s="3">
        <f t="shared" si="30"/>
        <v>1572</v>
      </c>
      <c r="E59" s="3">
        <f t="shared" si="31"/>
        <v>1.5720000000000001</v>
      </c>
      <c r="F59" s="3">
        <f t="shared" si="32"/>
        <v>5.1574803149606296</v>
      </c>
      <c r="G59" s="3">
        <f t="shared" si="33"/>
        <v>61.889763779527556</v>
      </c>
      <c r="H59" s="3"/>
      <c r="I59" s="68">
        <f t="shared" ref="I59" si="36">C59/$C$56</f>
        <v>0.06</v>
      </c>
    </row>
    <row r="60" spans="1:9" x14ac:dyDescent="0.25">
      <c r="A60" s="2" t="s">
        <v>65</v>
      </c>
      <c r="B60" s="3"/>
      <c r="C60" s="2">
        <v>4.5</v>
      </c>
      <c r="D60" s="3">
        <f t="shared" si="30"/>
        <v>2358</v>
      </c>
      <c r="E60" s="3">
        <f t="shared" ref="E60" si="37">D60/1000</f>
        <v>2.3580000000000001</v>
      </c>
      <c r="F60" s="3">
        <f t="shared" ref="F60" si="38">E60/0.3048</f>
        <v>7.7362204724409445</v>
      </c>
      <c r="G60" s="3">
        <f t="shared" ref="G60" si="39">F60*12</f>
        <v>92.834645669291334</v>
      </c>
      <c r="H60" s="3"/>
      <c r="I60" s="68">
        <f t="shared" ref="I60" si="40">C60/$C$56</f>
        <v>0.09</v>
      </c>
    </row>
    <row r="61" spans="1:9" x14ac:dyDescent="0.25">
      <c r="A61" s="2" t="s">
        <v>68</v>
      </c>
      <c r="B61" s="3"/>
      <c r="C61" s="2">
        <v>19</v>
      </c>
      <c r="D61" s="3">
        <f t="shared" si="30"/>
        <v>9956</v>
      </c>
      <c r="E61" s="3">
        <f t="shared" si="31"/>
        <v>9.9559999999999995</v>
      </c>
      <c r="F61" s="3">
        <f t="shared" si="32"/>
        <v>32.664041994750654</v>
      </c>
      <c r="G61" s="3">
        <f t="shared" si="33"/>
        <v>391.96850393700788</v>
      </c>
      <c r="H61" s="3"/>
      <c r="I61" s="68">
        <f t="shared" ref="I61" si="41">C61/$C$56</f>
        <v>0.38</v>
      </c>
    </row>
    <row r="62" spans="1:9" x14ac:dyDescent="0.25">
      <c r="A62" s="2" t="s">
        <v>66</v>
      </c>
      <c r="B62" s="3"/>
      <c r="C62" s="3">
        <f>D62/B55</f>
        <v>6.8339694656488552</v>
      </c>
      <c r="D62" s="3">
        <f>(D56/2)-9519</f>
        <v>3581</v>
      </c>
      <c r="E62" s="3">
        <f t="shared" si="31"/>
        <v>3.581</v>
      </c>
      <c r="F62" s="3">
        <f t="shared" si="32"/>
        <v>11.748687664041993</v>
      </c>
      <c r="G62" s="3">
        <f t="shared" si="33"/>
        <v>140.98425196850391</v>
      </c>
      <c r="H62" s="3"/>
      <c r="I62" s="68">
        <f t="shared" ref="I62" si="42">C62/$C$56</f>
        <v>0.1366793893129771</v>
      </c>
    </row>
    <row r="63" spans="1:9" x14ac:dyDescent="0.25">
      <c r="A63" s="24"/>
      <c r="I63" s="65"/>
    </row>
    <row r="64" spans="1:9" x14ac:dyDescent="0.25">
      <c r="A64" s="16" t="s">
        <v>69</v>
      </c>
    </row>
    <row r="65" spans="1:7" x14ac:dyDescent="0.25">
      <c r="A65" s="2" t="s">
        <v>71</v>
      </c>
      <c r="B65" s="3"/>
      <c r="C65" s="3"/>
      <c r="D65" s="3">
        <f>E65*1000</f>
        <v>52425.600000000006</v>
      </c>
      <c r="E65" s="3">
        <f>F65*0.3048</f>
        <v>52.425600000000003</v>
      </c>
      <c r="F65" s="2">
        <v>172</v>
      </c>
      <c r="G65" s="3">
        <f>F65*12</f>
        <v>2064</v>
      </c>
    </row>
    <row r="66" spans="1:7" x14ac:dyDescent="0.25">
      <c r="A66" s="2" t="s">
        <v>70</v>
      </c>
      <c r="B66" s="3"/>
      <c r="C66" s="3"/>
      <c r="D66" s="3">
        <f t="shared" ref="D66:D68" si="43">E66*1000</f>
        <v>31242</v>
      </c>
      <c r="E66" s="3">
        <f t="shared" ref="E66:E68" si="44">F66*0.3048</f>
        <v>31.242000000000001</v>
      </c>
      <c r="F66" s="2">
        <v>102.5</v>
      </c>
      <c r="G66" s="3">
        <f>F66*12</f>
        <v>1230</v>
      </c>
    </row>
    <row r="67" spans="1:7" x14ac:dyDescent="0.25">
      <c r="A67" s="2" t="s">
        <v>76</v>
      </c>
      <c r="B67" s="3"/>
      <c r="C67" s="3"/>
      <c r="D67" s="3">
        <f t="shared" si="43"/>
        <v>29311.600000000002</v>
      </c>
      <c r="E67" s="3">
        <f t="shared" si="44"/>
        <v>29.311600000000002</v>
      </c>
      <c r="F67" s="2">
        <f>96+2/12</f>
        <v>96.166666666666671</v>
      </c>
      <c r="G67" s="3">
        <f>F67*12</f>
        <v>1154</v>
      </c>
    </row>
    <row r="68" spans="1:7" x14ac:dyDescent="0.25">
      <c r="A68" s="2" t="s">
        <v>75</v>
      </c>
      <c r="B68" s="3"/>
      <c r="C68" s="3"/>
      <c r="D68" s="3">
        <f t="shared" si="43"/>
        <v>29565.599999999999</v>
      </c>
      <c r="E68" s="3">
        <f t="shared" si="44"/>
        <v>29.5656</v>
      </c>
      <c r="F68" s="2">
        <f>F67+10/12</f>
        <v>97</v>
      </c>
      <c r="G68" s="3">
        <f>F68*12</f>
        <v>1164</v>
      </c>
    </row>
    <row r="69" spans="1:7" x14ac:dyDescent="0.25">
      <c r="A69" s="24"/>
      <c r="F69" s="24"/>
    </row>
    <row r="70" spans="1:7" x14ac:dyDescent="0.25">
      <c r="A70" s="24"/>
      <c r="F70" s="24"/>
    </row>
    <row r="71" spans="1:7" x14ac:dyDescent="0.25">
      <c r="A71" s="24"/>
      <c r="F71" s="24"/>
    </row>
    <row r="72" spans="1:7" ht="15.75" x14ac:dyDescent="0.25">
      <c r="G72" s="69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8"/>
  <sheetViews>
    <sheetView topLeftCell="A7" workbookViewId="0">
      <selection activeCell="Q19" sqref="L13:Q19"/>
    </sheetView>
  </sheetViews>
  <sheetFormatPr defaultRowHeight="15" x14ac:dyDescent="0.25"/>
  <cols>
    <col min="1" max="1" width="31.28515625" bestFit="1" customWidth="1"/>
    <col min="12" max="12" width="11.7109375" bestFit="1" customWidth="1"/>
  </cols>
  <sheetData>
    <row r="1" spans="1:17" x14ac:dyDescent="0.25">
      <c r="A1" s="24" t="s">
        <v>101</v>
      </c>
    </row>
    <row r="2" spans="1:17" x14ac:dyDescent="0.25">
      <c r="A2" t="s">
        <v>81</v>
      </c>
      <c r="B2">
        <v>254</v>
      </c>
      <c r="C2" t="s">
        <v>12</v>
      </c>
      <c r="D2">
        <f>B2/1000</f>
        <v>0.254</v>
      </c>
      <c r="E2" t="s">
        <v>0</v>
      </c>
    </row>
    <row r="3" spans="1:17" x14ac:dyDescent="0.25">
      <c r="A3" t="s">
        <v>82</v>
      </c>
      <c r="B3">
        <f>'April 2011'!D47</f>
        <v>7860</v>
      </c>
      <c r="C3" t="s">
        <v>12</v>
      </c>
      <c r="D3">
        <f t="shared" ref="D3:D4" si="0">B3/1000</f>
        <v>7.86</v>
      </c>
      <c r="E3" t="s">
        <v>0</v>
      </c>
    </row>
    <row r="4" spans="1:17" x14ac:dyDescent="0.25">
      <c r="A4" t="s">
        <v>83</v>
      </c>
      <c r="B4">
        <f>B3-B2</f>
        <v>7606</v>
      </c>
      <c r="C4" t="s">
        <v>12</v>
      </c>
      <c r="D4">
        <f t="shared" si="0"/>
        <v>7.6059999999999999</v>
      </c>
      <c r="E4" t="s">
        <v>0</v>
      </c>
    </row>
    <row r="6" spans="1:17" x14ac:dyDescent="0.25">
      <c r="A6" t="s">
        <v>84</v>
      </c>
      <c r="B6">
        <f>D6*1000</f>
        <v>891</v>
      </c>
      <c r="C6" t="s">
        <v>12</v>
      </c>
      <c r="D6">
        <v>0.89100000000000001</v>
      </c>
      <c r="E6" t="s">
        <v>0</v>
      </c>
    </row>
    <row r="7" spans="1:17" x14ac:dyDescent="0.25">
      <c r="A7" t="s">
        <v>85</v>
      </c>
      <c r="B7">
        <f>D7*1000</f>
        <v>31242</v>
      </c>
      <c r="C7" t="s">
        <v>12</v>
      </c>
      <c r="D7">
        <v>31.242000000000001</v>
      </c>
      <c r="E7" t="s">
        <v>0</v>
      </c>
    </row>
    <row r="8" spans="1:17" x14ac:dyDescent="0.25">
      <c r="A8" t="s">
        <v>86</v>
      </c>
      <c r="D8">
        <v>0.9</v>
      </c>
    </row>
    <row r="9" spans="1:17" x14ac:dyDescent="0.25">
      <c r="A9" t="s">
        <v>87</v>
      </c>
      <c r="D9">
        <f>D7-D8</f>
        <v>30.342000000000002</v>
      </c>
    </row>
    <row r="11" spans="1:17" x14ac:dyDescent="0.25">
      <c r="L11" s="3" t="s">
        <v>120</v>
      </c>
      <c r="M11" s="3">
        <f>H18*I18*J18/2</f>
        <v>32372.510399999996</v>
      </c>
      <c r="N11" t="s">
        <v>88</v>
      </c>
    </row>
    <row r="12" spans="1:17" x14ac:dyDescent="0.25">
      <c r="B12" s="75"/>
      <c r="C12" s="75"/>
      <c r="D12" s="75"/>
      <c r="E12" s="77" t="s">
        <v>113</v>
      </c>
      <c r="F12" s="77" t="s">
        <v>114</v>
      </c>
    </row>
    <row r="13" spans="1:17" x14ac:dyDescent="0.25">
      <c r="A13" s="2" t="s">
        <v>96</v>
      </c>
      <c r="B13" s="76" t="s">
        <v>97</v>
      </c>
      <c r="C13" s="76" t="s">
        <v>98</v>
      </c>
      <c r="D13" s="76" t="s">
        <v>99</v>
      </c>
      <c r="E13" s="76" t="s">
        <v>47</v>
      </c>
      <c r="F13" s="76" t="s">
        <v>47</v>
      </c>
      <c r="L13" s="24" t="s">
        <v>115</v>
      </c>
    </row>
    <row r="14" spans="1:17" x14ac:dyDescent="0.25">
      <c r="A14" s="3" t="s">
        <v>92</v>
      </c>
      <c r="B14" s="3">
        <v>11131</v>
      </c>
      <c r="C14" s="3">
        <v>1454.915</v>
      </c>
      <c r="D14" s="3">
        <v>1718.53</v>
      </c>
      <c r="E14" s="3">
        <f>SUM(B14:D14)</f>
        <v>14304.445000000002</v>
      </c>
      <c r="F14" s="3">
        <f>E14*2</f>
        <v>28608.890000000003</v>
      </c>
      <c r="G14" t="s">
        <v>88</v>
      </c>
      <c r="H14" s="74" t="s">
        <v>100</v>
      </c>
      <c r="I14" s="74">
        <v>524</v>
      </c>
      <c r="J14" s="74" t="s">
        <v>12</v>
      </c>
      <c r="L14" s="3" t="s">
        <v>116</v>
      </c>
      <c r="M14" s="3">
        <v>5</v>
      </c>
      <c r="N14" s="3">
        <v>0</v>
      </c>
      <c r="O14" s="3">
        <v>5</v>
      </c>
      <c r="P14" s="80">
        <v>3</v>
      </c>
      <c r="Q14" s="78" t="s">
        <v>117</v>
      </c>
    </row>
    <row r="15" spans="1:17" x14ac:dyDescent="0.25">
      <c r="A15" s="3" t="s">
        <v>89</v>
      </c>
      <c r="B15" s="3">
        <v>109.72799999999999</v>
      </c>
      <c r="C15" s="3">
        <v>23.675000000000001</v>
      </c>
      <c r="D15" s="3">
        <v>25.344000000000001</v>
      </c>
      <c r="E15" s="3">
        <f>SUM(B15:D15)</f>
        <v>158.74699999999999</v>
      </c>
      <c r="F15" s="3"/>
      <c r="G15" t="s">
        <v>93</v>
      </c>
      <c r="H15" s="74" t="s">
        <v>89</v>
      </c>
      <c r="I15" s="74" t="s">
        <v>90</v>
      </c>
      <c r="J15" s="74" t="s">
        <v>91</v>
      </c>
      <c r="L15" s="3" t="s">
        <v>119</v>
      </c>
      <c r="M15" s="3">
        <v>3</v>
      </c>
      <c r="N15" s="3">
        <v>3</v>
      </c>
      <c r="O15" s="3">
        <v>0</v>
      </c>
      <c r="P15" s="80">
        <v>2</v>
      </c>
      <c r="Q15" s="79" t="s">
        <v>0</v>
      </c>
    </row>
    <row r="16" spans="1:17" x14ac:dyDescent="0.25">
      <c r="A16" s="3" t="s">
        <v>90</v>
      </c>
      <c r="B16" s="3">
        <v>13.151999999999999</v>
      </c>
      <c r="C16" s="3">
        <f>B16</f>
        <v>13.151999999999999</v>
      </c>
      <c r="D16" s="3">
        <f>B16</f>
        <v>13.151999999999999</v>
      </c>
      <c r="E16" s="3">
        <f>2*D16</f>
        <v>26.303999999999998</v>
      </c>
      <c r="F16" s="3"/>
      <c r="G16" t="s">
        <v>0</v>
      </c>
      <c r="H16" s="3">
        <v>300</v>
      </c>
      <c r="I16" s="3">
        <v>50</v>
      </c>
      <c r="J16" s="3">
        <v>30</v>
      </c>
      <c r="L16" s="3" t="s">
        <v>118</v>
      </c>
      <c r="M16" s="3">
        <v>3</v>
      </c>
      <c r="N16" s="3">
        <v>3</v>
      </c>
      <c r="O16" s="3">
        <v>0</v>
      </c>
      <c r="P16" s="80">
        <v>2</v>
      </c>
      <c r="Q16" s="78" t="s">
        <v>0</v>
      </c>
    </row>
    <row r="17" spans="1:18" x14ac:dyDescent="0.25">
      <c r="A17" s="3" t="s">
        <v>91</v>
      </c>
      <c r="B17" s="3">
        <f>D3</f>
        <v>7.86</v>
      </c>
      <c r="C17" s="3">
        <f>B17</f>
        <v>7.86</v>
      </c>
      <c r="D17" s="3">
        <f>B17</f>
        <v>7.86</v>
      </c>
      <c r="E17" s="3">
        <f>2*D17</f>
        <v>15.72</v>
      </c>
      <c r="F17" s="3"/>
      <c r="G17" t="s">
        <v>0</v>
      </c>
      <c r="H17" s="3">
        <f>H16*$I$14</f>
        <v>157200</v>
      </c>
      <c r="I17" s="3">
        <f>I16*$I$14</f>
        <v>26200</v>
      </c>
      <c r="J17" s="3">
        <f>J16*$I$14</f>
        <v>15720</v>
      </c>
      <c r="L17" s="3" t="s">
        <v>16</v>
      </c>
      <c r="M17" s="3">
        <v>29381</v>
      </c>
      <c r="N17" s="3">
        <v>31624</v>
      </c>
      <c r="O17" s="3">
        <v>30012</v>
      </c>
      <c r="P17" s="80">
        <v>30507</v>
      </c>
      <c r="Q17" s="78" t="s">
        <v>88</v>
      </c>
    </row>
    <row r="18" spans="1:18" x14ac:dyDescent="0.25">
      <c r="A18" s="3" t="s">
        <v>94</v>
      </c>
      <c r="B18" s="3">
        <f>B15*B16*B17</f>
        <v>11343.101276159998</v>
      </c>
      <c r="C18" s="3">
        <f>C15*C16*C17</f>
        <v>2447.3964960000003</v>
      </c>
      <c r="D18" s="3">
        <f>D15*D16*D17</f>
        <v>2619.9289036800001</v>
      </c>
      <c r="E18" s="3">
        <f t="shared" ref="E18" si="1">SUM(B18:D18)</f>
        <v>16410.426675839997</v>
      </c>
      <c r="F18" s="3">
        <f>E18*2</f>
        <v>32820.853351679994</v>
      </c>
      <c r="G18" t="s">
        <v>88</v>
      </c>
      <c r="H18" s="3">
        <f>H17/1000</f>
        <v>157.19999999999999</v>
      </c>
      <c r="I18" s="3">
        <f t="shared" ref="I18:J18" si="2">I17/1000</f>
        <v>26.2</v>
      </c>
      <c r="J18" s="3">
        <f t="shared" si="2"/>
        <v>15.72</v>
      </c>
      <c r="L18" s="3" t="s">
        <v>121</v>
      </c>
      <c r="M18" s="5">
        <f>M17/$M$11</f>
        <v>0.90759102822004201</v>
      </c>
      <c r="N18" s="5">
        <f>N17/$M$11</f>
        <v>0.97687820960588845</v>
      </c>
      <c r="O18" s="5">
        <f>O17/$M$11</f>
        <v>0.92708287461079952</v>
      </c>
      <c r="P18" s="5">
        <f>P17/$M$11</f>
        <v>0.94237362574142547</v>
      </c>
    </row>
    <row r="19" spans="1:18" x14ac:dyDescent="0.25">
      <c r="A19" s="3" t="s">
        <v>95</v>
      </c>
      <c r="B19" s="3">
        <f>B14/B18</f>
        <v>0.98130129750267026</v>
      </c>
      <c r="C19" s="3">
        <f>C14/C18</f>
        <v>0.59447457834392514</v>
      </c>
      <c r="D19" s="3">
        <f>D14/D18</f>
        <v>0.65594528064716617</v>
      </c>
      <c r="E19" s="8">
        <f>E14/E18</f>
        <v>0.87166807314397887</v>
      </c>
      <c r="F19" s="8">
        <f>F14/F18</f>
        <v>0.87166807314397887</v>
      </c>
      <c r="L19" s="3" t="s">
        <v>122</v>
      </c>
      <c r="M19" s="68">
        <f>1-M18</f>
        <v>9.2408971779957993E-2</v>
      </c>
      <c r="N19" s="68">
        <f>1-N18</f>
        <v>2.3121790394111552E-2</v>
      </c>
      <c r="O19" s="68">
        <f>1-O18</f>
        <v>7.2917125389200477E-2</v>
      </c>
      <c r="P19" s="68">
        <f>1-P18</f>
        <v>5.7626374258574531E-2</v>
      </c>
    </row>
    <row r="20" spans="1:18" x14ac:dyDescent="0.25">
      <c r="A20" s="3" t="s">
        <v>108</v>
      </c>
      <c r="B20" s="3">
        <v>1465.5129999999999</v>
      </c>
      <c r="C20" s="3">
        <v>241.00700000000001</v>
      </c>
      <c r="D20" s="3">
        <v>251.88900000000001</v>
      </c>
      <c r="E20" s="3">
        <f>SUM(B20:D20)</f>
        <v>1958.4090000000001</v>
      </c>
      <c r="F20" s="3">
        <f>E20*2</f>
        <v>3916.8180000000002</v>
      </c>
      <c r="G20" t="s">
        <v>107</v>
      </c>
    </row>
    <row r="23" spans="1:18" x14ac:dyDescent="0.25">
      <c r="A23" s="3" t="s">
        <v>106</v>
      </c>
      <c r="B23" s="3">
        <f>F14</f>
        <v>28608.890000000003</v>
      </c>
      <c r="C23" t="s">
        <v>88</v>
      </c>
    </row>
    <row r="24" spans="1:18" x14ac:dyDescent="0.25">
      <c r="A24" s="3" t="s">
        <v>102</v>
      </c>
      <c r="B24" s="3">
        <v>1.03</v>
      </c>
      <c r="C24" t="s">
        <v>103</v>
      </c>
      <c r="R24">
        <v>3</v>
      </c>
    </row>
    <row r="25" spans="1:18" x14ac:dyDescent="0.25">
      <c r="A25" s="3" t="s">
        <v>104</v>
      </c>
      <c r="B25" s="3">
        <f>B24*B23</f>
        <v>29467.156700000003</v>
      </c>
      <c r="C25" t="s">
        <v>105</v>
      </c>
    </row>
    <row r="26" spans="1:18" x14ac:dyDescent="0.25">
      <c r="A26" s="3" t="s">
        <v>109</v>
      </c>
      <c r="B26" s="3">
        <f>F20*B24/100</f>
        <v>40.343225400000001</v>
      </c>
      <c r="C26" t="s">
        <v>110</v>
      </c>
    </row>
    <row r="27" spans="1:18" x14ac:dyDescent="0.25">
      <c r="A27" s="3" t="s">
        <v>112</v>
      </c>
      <c r="B27" s="3">
        <f>E15*E16</f>
        <v>4175.6810879999994</v>
      </c>
      <c r="C27" t="s">
        <v>107</v>
      </c>
    </row>
    <row r="28" spans="1:18" x14ac:dyDescent="0.25">
      <c r="A28" s="3" t="s">
        <v>111</v>
      </c>
      <c r="B28" s="3">
        <f>F20/B27</f>
        <v>0.93800697837200364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2"/>
  <sheetViews>
    <sheetView workbookViewId="0">
      <selection activeCell="K11" sqref="K11"/>
    </sheetView>
  </sheetViews>
  <sheetFormatPr defaultRowHeight="15" x14ac:dyDescent="0.25"/>
  <cols>
    <col min="2" max="2" width="20.140625" bestFit="1" customWidth="1"/>
    <col min="3" max="3" width="11.85546875" bestFit="1" customWidth="1"/>
    <col min="4" max="4" width="10.140625" bestFit="1" customWidth="1"/>
    <col min="5" max="5" width="39.5703125" bestFit="1" customWidth="1"/>
  </cols>
  <sheetData>
    <row r="1" spans="2:5" ht="16.5" x14ac:dyDescent="0.25">
      <c r="B1" s="81" t="s">
        <v>123</v>
      </c>
      <c r="C1" s="81"/>
      <c r="D1" s="81"/>
      <c r="E1" s="81"/>
    </row>
    <row r="2" spans="2:5" x14ac:dyDescent="0.25">
      <c r="B2" s="82" t="s">
        <v>124</v>
      </c>
      <c r="C2" s="82"/>
      <c r="D2" s="82"/>
      <c r="E2" s="82"/>
    </row>
    <row r="4" spans="2:5" x14ac:dyDescent="0.25">
      <c r="B4" s="83" t="s">
        <v>125</v>
      </c>
      <c r="C4" s="83"/>
      <c r="D4" s="83"/>
      <c r="E4" s="83"/>
    </row>
    <row r="5" spans="2:5" x14ac:dyDescent="0.25">
      <c r="B5" s="84" t="s">
        <v>126</v>
      </c>
      <c r="C5" s="84"/>
      <c r="D5" s="84"/>
      <c r="E5" s="84"/>
    </row>
    <row r="7" spans="2:5" x14ac:dyDescent="0.25">
      <c r="B7" s="85" t="s">
        <v>127</v>
      </c>
    </row>
    <row r="8" spans="2:5" x14ac:dyDescent="0.25">
      <c r="B8" s="86" t="s">
        <v>128</v>
      </c>
      <c r="C8" s="86" t="s">
        <v>129</v>
      </c>
      <c r="D8" s="86" t="s">
        <v>130</v>
      </c>
      <c r="E8" s="86" t="s">
        <v>131</v>
      </c>
    </row>
    <row r="9" spans="2:5" x14ac:dyDescent="0.25">
      <c r="B9" s="87" t="s">
        <v>132</v>
      </c>
      <c r="C9" s="88">
        <v>157.19999999999999</v>
      </c>
      <c r="D9" s="88">
        <v>225</v>
      </c>
      <c r="E9" s="89" t="s">
        <v>133</v>
      </c>
    </row>
    <row r="10" spans="2:5" x14ac:dyDescent="0.25">
      <c r="B10" s="87" t="s">
        <v>134</v>
      </c>
      <c r="C10" s="88">
        <v>26.2</v>
      </c>
      <c r="D10" s="88">
        <v>32.200000000000003</v>
      </c>
      <c r="E10" s="89" t="s">
        <v>135</v>
      </c>
    </row>
    <row r="11" spans="2:5" x14ac:dyDescent="0.25">
      <c r="B11" s="87" t="s">
        <v>136</v>
      </c>
      <c r="C11" s="88">
        <v>0.87</v>
      </c>
      <c r="D11" s="88">
        <v>0.83</v>
      </c>
      <c r="E11" s="89" t="s">
        <v>137</v>
      </c>
    </row>
    <row r="12" spans="2:5" x14ac:dyDescent="0.25">
      <c r="B12" s="87" t="s">
        <v>138</v>
      </c>
      <c r="C12" s="88">
        <v>7.86</v>
      </c>
      <c r="D12" s="88">
        <v>14</v>
      </c>
      <c r="E12" s="89" t="s">
        <v>139</v>
      </c>
    </row>
    <row r="13" spans="2:5" x14ac:dyDescent="0.25">
      <c r="B13" s="87" t="s">
        <v>140</v>
      </c>
      <c r="C13" s="90">
        <f>10.75-((300-C9)/100)^1.5</f>
        <v>9.0435549373038686</v>
      </c>
      <c r="D13" s="90">
        <f>10.75-((300-D9)/100)^1.5</f>
        <v>10.100480947161671</v>
      </c>
      <c r="E13" s="89" t="s">
        <v>141</v>
      </c>
    </row>
    <row r="15" spans="2:5" x14ac:dyDescent="0.25">
      <c r="B15" s="85" t="s">
        <v>142</v>
      </c>
    </row>
    <row r="16" spans="2:5" x14ac:dyDescent="0.25">
      <c r="B16" s="86"/>
      <c r="C16" s="86" t="s">
        <v>129</v>
      </c>
      <c r="D16" s="86" t="s">
        <v>130</v>
      </c>
      <c r="E16" s="86" t="s">
        <v>131</v>
      </c>
    </row>
    <row r="17" spans="2:5" x14ac:dyDescent="0.25">
      <c r="B17" s="87" t="s">
        <v>143</v>
      </c>
      <c r="C17" s="91">
        <f>110*C13*C9^2*C10*(C11+0.7)*0.001</f>
        <v>1011201.9384049438</v>
      </c>
      <c r="D17" s="91">
        <f>110*D13*D9^2*D10*(D11+0.7)*0.001</f>
        <v>2771067.3266218402</v>
      </c>
      <c r="E17" s="89" t="s">
        <v>144</v>
      </c>
    </row>
    <row r="18" spans="2:5" x14ac:dyDescent="0.25">
      <c r="B18" s="87" t="s">
        <v>145</v>
      </c>
      <c r="C18" s="91">
        <f>190*C13*C9^2*C10*(C11+0.7)*0.001</f>
        <v>1746621.5299721758</v>
      </c>
      <c r="D18" s="91">
        <f>190*D13*D9^2*D10*(D11+0.7)*0.001</f>
        <v>4786389.0187104503</v>
      </c>
      <c r="E18" s="89" t="s">
        <v>146</v>
      </c>
    </row>
    <row r="19" spans="2:5" x14ac:dyDescent="0.25">
      <c r="B19" s="87" t="s">
        <v>147</v>
      </c>
      <c r="C19" s="91">
        <f>C17/1000</f>
        <v>1011.2019384049438</v>
      </c>
      <c r="D19" s="91">
        <f>D17/1000</f>
        <v>2771.06732662184</v>
      </c>
      <c r="E19" s="89"/>
    </row>
    <row r="20" spans="2:5" x14ac:dyDescent="0.25">
      <c r="B20" s="87" t="s">
        <v>148</v>
      </c>
      <c r="C20" s="91">
        <f>C18/1000</f>
        <v>1746.6215299721757</v>
      </c>
      <c r="D20" s="91">
        <f>D18/1000</f>
        <v>4786.3890187104498</v>
      </c>
      <c r="E20" s="89"/>
    </row>
    <row r="22" spans="2:5" x14ac:dyDescent="0.25">
      <c r="B22" s="84" t="s">
        <v>149</v>
      </c>
      <c r="C22" s="84"/>
      <c r="D22" s="84"/>
      <c r="E22" s="84"/>
    </row>
  </sheetData>
  <mergeCells count="5">
    <mergeCell ref="B1:E1"/>
    <mergeCell ref="B2:E2"/>
    <mergeCell ref="B4:E4"/>
    <mergeCell ref="B5:E5"/>
    <mergeCell ref="B22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05B2-DF39-4187-86F9-AC56B85900EE}">
  <dimension ref="B1:I22"/>
  <sheetViews>
    <sheetView tabSelected="1" workbookViewId="0">
      <selection activeCell="I17" sqref="I17"/>
    </sheetView>
  </sheetViews>
  <sheetFormatPr defaultRowHeight="15" x14ac:dyDescent="0.25"/>
  <cols>
    <col min="2" max="2" width="31.5703125" customWidth="1"/>
    <col min="3" max="3" width="11.85546875" bestFit="1" customWidth="1"/>
    <col min="4" max="4" width="10" bestFit="1" customWidth="1"/>
    <col min="5" max="5" width="45.5703125" bestFit="1" customWidth="1"/>
  </cols>
  <sheetData>
    <row r="1" spans="2:5" ht="16.5" x14ac:dyDescent="0.25">
      <c r="B1" s="81" t="s">
        <v>150</v>
      </c>
      <c r="C1" s="81"/>
      <c r="D1" s="81"/>
      <c r="E1" s="81"/>
    </row>
    <row r="2" spans="2:5" x14ac:dyDescent="0.25">
      <c r="B2" s="82" t="s">
        <v>124</v>
      </c>
      <c r="C2" s="82"/>
      <c r="D2" s="82"/>
      <c r="E2" s="82"/>
    </row>
    <row r="4" spans="2:5" x14ac:dyDescent="0.25">
      <c r="B4" s="83" t="s">
        <v>151</v>
      </c>
      <c r="C4" s="83"/>
      <c r="D4" s="83"/>
      <c r="E4" s="83"/>
    </row>
    <row r="5" spans="2:5" x14ac:dyDescent="0.25">
      <c r="B5" s="84" t="s">
        <v>152</v>
      </c>
      <c r="C5" s="84"/>
      <c r="D5" s="84"/>
      <c r="E5" s="84"/>
    </row>
    <row r="6" spans="2:5" x14ac:dyDescent="0.25">
      <c r="B6" s="84" t="s">
        <v>153</v>
      </c>
      <c r="C6" s="84"/>
      <c r="D6" s="84"/>
      <c r="E6" s="84"/>
    </row>
    <row r="8" spans="2:5" x14ac:dyDescent="0.25">
      <c r="B8" s="85" t="s">
        <v>154</v>
      </c>
    </row>
    <row r="9" spans="2:5" x14ac:dyDescent="0.25">
      <c r="B9" s="86" t="s">
        <v>128</v>
      </c>
      <c r="C9" s="86" t="s">
        <v>129</v>
      </c>
      <c r="D9" s="86" t="s">
        <v>130</v>
      </c>
      <c r="E9" s="86" t="s">
        <v>131</v>
      </c>
    </row>
    <row r="10" spans="2:5" x14ac:dyDescent="0.25">
      <c r="B10" s="87" t="s">
        <v>132</v>
      </c>
      <c r="C10" s="88">
        <v>157.19999999999999</v>
      </c>
      <c r="D10" s="88">
        <v>225</v>
      </c>
      <c r="E10" s="92" t="str">
        <f>'[1]Wave Bending Moment'!D9</f>
        <v>Ark: 300 × 0.524m | Panamax: typical</v>
      </c>
    </row>
    <row r="11" spans="2:5" x14ac:dyDescent="0.25">
      <c r="B11" s="87" t="s">
        <v>134</v>
      </c>
      <c r="C11" s="88">
        <v>26.2</v>
      </c>
      <c r="D11" s="88">
        <v>32.200000000000003</v>
      </c>
      <c r="E11" s="92" t="str">
        <f>'[1]Wave Bending Moment'!D10</f>
        <v>Ark: 50 × 0.524m | Panamax: typical</v>
      </c>
    </row>
    <row r="12" spans="2:5" x14ac:dyDescent="0.25">
      <c r="B12" s="87" t="s">
        <v>136</v>
      </c>
      <c r="C12" s="88">
        <v>0.87</v>
      </c>
      <c r="D12" s="88">
        <v>0.83</v>
      </c>
      <c r="E12" s="92" t="str">
        <f>'[1]Wave Bending Moment'!D11</f>
        <v>Ark: CAD AR-003-20110418 | Panamax: typical</v>
      </c>
    </row>
    <row r="13" spans="2:5" x14ac:dyDescent="0.25">
      <c r="B13" s="87" t="s">
        <v>140</v>
      </c>
      <c r="C13" s="88">
        <f>10.75-((300-C10)/100)^1.5</f>
        <v>9.0435549373038686</v>
      </c>
      <c r="D13" s="88">
        <f>10.75-((300-D10)/100)^1.5</f>
        <v>10.100480947161671</v>
      </c>
      <c r="E13" s="92" t="str">
        <f>'[1]Wave Bending Moment'!D13</f>
        <v>IACS UR S11 — valid 100 ≤ L ≤ 300m</v>
      </c>
    </row>
    <row r="15" spans="2:5" x14ac:dyDescent="0.25">
      <c r="B15" s="85" t="s">
        <v>142</v>
      </c>
    </row>
    <row r="16" spans="2:5" x14ac:dyDescent="0.25">
      <c r="B16" s="86"/>
      <c r="C16" s="86" t="s">
        <v>129</v>
      </c>
      <c r="D16" s="86" t="s">
        <v>130</v>
      </c>
      <c r="E16" s="86" t="s">
        <v>131</v>
      </c>
    </row>
    <row r="17" spans="2:9" x14ac:dyDescent="0.25">
      <c r="B17" s="87" t="s">
        <v>155</v>
      </c>
      <c r="C17" s="91">
        <f>30*C13*C10*C11*(C12+0.7)*0.01</f>
        <v>17543.40628738626</v>
      </c>
      <c r="D17" s="91">
        <f>30*D13*D10*D11*(D12+0.7)*0.01</f>
        <v>33588.69486814351</v>
      </c>
      <c r="E17" s="89" t="s">
        <v>156</v>
      </c>
    </row>
    <row r="18" spans="2:9" x14ac:dyDescent="0.25">
      <c r="B18" s="87" t="s">
        <v>157</v>
      </c>
      <c r="C18" s="91">
        <f>37*C13*C10*C11*(C12+0.7)*0.01</f>
        <v>21636.867754443054</v>
      </c>
      <c r="D18" s="91">
        <f>37*D13*D10*D11*(D12+0.7)*0.01</f>
        <v>41426.057004043672</v>
      </c>
      <c r="E18" s="89" t="s">
        <v>158</v>
      </c>
    </row>
    <row r="19" spans="2:9" x14ac:dyDescent="0.25">
      <c r="B19" s="87" t="s">
        <v>159</v>
      </c>
      <c r="C19" s="91">
        <f>C17/1000</f>
        <v>17.543406287386262</v>
      </c>
      <c r="D19" s="91">
        <f>D17/1000</f>
        <v>33.588694868143513</v>
      </c>
      <c r="E19" s="89"/>
    </row>
    <row r="20" spans="2:9" x14ac:dyDescent="0.25">
      <c r="B20" s="87" t="s">
        <v>160</v>
      </c>
      <c r="C20" s="91">
        <f>C18/1000</f>
        <v>21.636867754443053</v>
      </c>
      <c r="D20" s="91">
        <f>D18/1000</f>
        <v>41.42605700404367</v>
      </c>
      <c r="E20" s="89"/>
      <c r="I20" t="s">
        <v>162</v>
      </c>
    </row>
    <row r="22" spans="2:9" x14ac:dyDescent="0.25">
      <c r="B22" s="84" t="s">
        <v>161</v>
      </c>
      <c r="C22" s="84"/>
      <c r="D22" s="84"/>
      <c r="E22" s="84"/>
    </row>
  </sheetData>
  <mergeCells count="6">
    <mergeCell ref="B1:E1"/>
    <mergeCell ref="B2:E2"/>
    <mergeCell ref="B4:E4"/>
    <mergeCell ref="B5:E5"/>
    <mergeCell ref="B22:E22"/>
    <mergeCell ref="B6:E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58088d-b0a6-4b25-91ed-de53affe74db}" enabled="1" method="Privileged" siteId="{19537222-55d7-4581-84fb-c2da6e835c7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April 2011</vt:lpstr>
      <vt:lpstr>block coeff</vt:lpstr>
      <vt:lpstr>Wave BM</vt:lpstr>
      <vt:lpstr>Shear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Timothy Lovett</cp:lastModifiedBy>
  <cp:lastPrinted>2011-04-08T17:28:30Z</cp:lastPrinted>
  <dcterms:created xsi:type="dcterms:W3CDTF">2011-02-19T21:47:07Z</dcterms:created>
  <dcterms:modified xsi:type="dcterms:W3CDTF">2026-08-07T13:22:04Z</dcterms:modified>
</cp:coreProperties>
</file>